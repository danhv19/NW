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ienercarrion-my.sharepoint.com/personal/daniel_herrera_uwiener_edu_pe/Documents/NW/Proyecto Predicción/MODELO/DATA estudiantes/Data prueba historico/"/>
    </mc:Choice>
  </mc:AlternateContent>
  <xr:revisionPtr revIDLastSave="15" documentId="11_03EE4F1DA5C91D778288A974FE1ECDFD5B2C5F9D" xr6:coauthVersionLast="47" xr6:coauthVersionMax="47" xr10:uidLastSave="{707F14FA-5428-4901-9045-99105BA1DDE1}"/>
  <bookViews>
    <workbookView xWindow="35055" yWindow="570" windowWidth="19185" windowHeight="10170" xr2:uid="{00000000-000D-0000-FFFF-FFFF00000000}"/>
  </bookViews>
  <sheets>
    <sheet name="NOTAS" sheetId="1" r:id="rId1"/>
    <sheet name="ASISTENCIA" sheetId="2" r:id="rId2"/>
    <sheet name="Hoja2" sheetId="4" r:id="rId3"/>
  </sheets>
  <definedNames>
    <definedName name="_xlnm._FilterDatabase" localSheetId="0" hidden="1">NOTAS!$A$1:$P$1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aW1sVEDs4/8qiGgsit+d42Z0Rcmcj+905LCH84OVbU="/>
    </ext>
  </extLst>
</workbook>
</file>

<file path=xl/calcChain.xml><?xml version="1.0" encoding="utf-8"?>
<calcChain xmlns="http://schemas.openxmlformats.org/spreadsheetml/2006/main">
  <c r="K224" i="1" l="1"/>
  <c r="M224" i="1" s="1"/>
  <c r="F224" i="1"/>
  <c r="H224" i="1" s="1"/>
  <c r="K223" i="1"/>
  <c r="M223" i="1" s="1"/>
  <c r="F223" i="1"/>
  <c r="H223" i="1" s="1"/>
  <c r="K222" i="1"/>
  <c r="M222" i="1" s="1"/>
  <c r="F222" i="1"/>
  <c r="H222" i="1" s="1"/>
  <c r="K221" i="1"/>
  <c r="M221" i="1" s="1"/>
  <c r="F221" i="1"/>
  <c r="H221" i="1" s="1"/>
  <c r="K220" i="1"/>
  <c r="M220" i="1" s="1"/>
  <c r="F220" i="1"/>
  <c r="H220" i="1" s="1"/>
  <c r="K219" i="1"/>
  <c r="M219" i="1" s="1"/>
  <c r="F219" i="1"/>
  <c r="H219" i="1" s="1"/>
  <c r="K218" i="1"/>
  <c r="M218" i="1" s="1"/>
  <c r="F218" i="1"/>
  <c r="H218" i="1" s="1"/>
  <c r="K217" i="1"/>
  <c r="M217" i="1" s="1"/>
  <c r="F217" i="1"/>
  <c r="H217" i="1" s="1"/>
  <c r="K216" i="1"/>
  <c r="M216" i="1" s="1"/>
  <c r="F216" i="1"/>
  <c r="H216" i="1" s="1"/>
  <c r="K215" i="1"/>
  <c r="M215" i="1" s="1"/>
  <c r="F215" i="1"/>
  <c r="H215" i="1" s="1"/>
  <c r="O215" i="1" s="1"/>
  <c r="K214" i="1"/>
  <c r="M214" i="1" s="1"/>
  <c r="F214" i="1"/>
  <c r="H214" i="1" s="1"/>
  <c r="K213" i="1"/>
  <c r="M213" i="1" s="1"/>
  <c r="F213" i="1"/>
  <c r="H213" i="1" s="1"/>
  <c r="K212" i="1"/>
  <c r="M212" i="1" s="1"/>
  <c r="F212" i="1"/>
  <c r="H212" i="1" s="1"/>
  <c r="K211" i="1"/>
  <c r="M211" i="1" s="1"/>
  <c r="F211" i="1"/>
  <c r="H211" i="1" s="1"/>
  <c r="O211" i="1" s="1"/>
  <c r="K210" i="1"/>
  <c r="M210" i="1" s="1"/>
  <c r="F210" i="1"/>
  <c r="H210" i="1" s="1"/>
  <c r="K209" i="1"/>
  <c r="M209" i="1" s="1"/>
  <c r="F209" i="1"/>
  <c r="H209" i="1" s="1"/>
  <c r="K208" i="1"/>
  <c r="M208" i="1" s="1"/>
  <c r="F208" i="1"/>
  <c r="H208" i="1" s="1"/>
  <c r="K207" i="1"/>
  <c r="M207" i="1" s="1"/>
  <c r="F207" i="1"/>
  <c r="H207" i="1" s="1"/>
  <c r="K206" i="1"/>
  <c r="M206" i="1" s="1"/>
  <c r="F206" i="1"/>
  <c r="H206" i="1" s="1"/>
  <c r="K205" i="1"/>
  <c r="M205" i="1" s="1"/>
  <c r="F205" i="1"/>
  <c r="H205" i="1" s="1"/>
  <c r="K204" i="1"/>
  <c r="M204" i="1" s="1"/>
  <c r="F204" i="1"/>
  <c r="H204" i="1" s="1"/>
  <c r="K203" i="1"/>
  <c r="M203" i="1" s="1"/>
  <c r="F203" i="1"/>
  <c r="H203" i="1" s="1"/>
  <c r="K202" i="1"/>
  <c r="M202" i="1" s="1"/>
  <c r="F202" i="1"/>
  <c r="H202" i="1" s="1"/>
  <c r="K201" i="1"/>
  <c r="M201" i="1" s="1"/>
  <c r="F201" i="1"/>
  <c r="H201" i="1" s="1"/>
  <c r="K200" i="1"/>
  <c r="M200" i="1" s="1"/>
  <c r="F200" i="1"/>
  <c r="H200" i="1" s="1"/>
  <c r="K199" i="1"/>
  <c r="M199" i="1" s="1"/>
  <c r="F199" i="1"/>
  <c r="H199" i="1" s="1"/>
  <c r="O209" i="1" l="1"/>
  <c r="O205" i="1"/>
  <c r="O224" i="1"/>
  <c r="O206" i="1"/>
  <c r="O218" i="1"/>
  <c r="O199" i="1"/>
  <c r="O223" i="1"/>
  <c r="O217" i="1"/>
  <c r="O207" i="1"/>
  <c r="O216" i="1"/>
  <c r="O201" i="1"/>
  <c r="O203" i="1"/>
  <c r="O210" i="1"/>
  <c r="O212" i="1"/>
  <c r="O219" i="1"/>
  <c r="O221" i="1"/>
  <c r="O220" i="1"/>
  <c r="O214" i="1"/>
  <c r="O202" i="1"/>
  <c r="O204" i="1"/>
  <c r="O213" i="1"/>
  <c r="O222" i="1"/>
  <c r="O200" i="1"/>
  <c r="O208" i="1"/>
  <c r="K198" i="1" l="1"/>
  <c r="M198" i="1" s="1"/>
  <c r="F198" i="1"/>
  <c r="H198" i="1" s="1"/>
  <c r="K197" i="1"/>
  <c r="M197" i="1" s="1"/>
  <c r="F197" i="1"/>
  <c r="H197" i="1" s="1"/>
  <c r="K196" i="1"/>
  <c r="M196" i="1" s="1"/>
  <c r="F196" i="1"/>
  <c r="H196" i="1" s="1"/>
  <c r="K195" i="1"/>
  <c r="M195" i="1" s="1"/>
  <c r="F195" i="1"/>
  <c r="H195" i="1" s="1"/>
  <c r="K194" i="1"/>
  <c r="M194" i="1" s="1"/>
  <c r="F194" i="1"/>
  <c r="H194" i="1" s="1"/>
  <c r="K193" i="1"/>
  <c r="M193" i="1" s="1"/>
  <c r="F193" i="1"/>
  <c r="H193" i="1" s="1"/>
  <c r="K192" i="1"/>
  <c r="M192" i="1" s="1"/>
  <c r="F192" i="1"/>
  <c r="H192" i="1" s="1"/>
  <c r="K191" i="1"/>
  <c r="M191" i="1" s="1"/>
  <c r="F191" i="1"/>
  <c r="H191" i="1" s="1"/>
  <c r="O191" i="1" s="1"/>
  <c r="K190" i="1"/>
  <c r="M190" i="1" s="1"/>
  <c r="F190" i="1"/>
  <c r="H190" i="1" s="1"/>
  <c r="K189" i="1"/>
  <c r="M189" i="1" s="1"/>
  <c r="F189" i="1"/>
  <c r="H189" i="1" s="1"/>
  <c r="K188" i="1"/>
  <c r="M188" i="1" s="1"/>
  <c r="F188" i="1"/>
  <c r="H188" i="1" s="1"/>
  <c r="K187" i="1"/>
  <c r="M187" i="1" s="1"/>
  <c r="F187" i="1"/>
  <c r="H187" i="1" s="1"/>
  <c r="K186" i="1"/>
  <c r="M186" i="1" s="1"/>
  <c r="F186" i="1"/>
  <c r="H186" i="1" s="1"/>
  <c r="O186" i="1" s="1"/>
  <c r="K185" i="1"/>
  <c r="M185" i="1" s="1"/>
  <c r="F185" i="1"/>
  <c r="H185" i="1" s="1"/>
  <c r="K184" i="1"/>
  <c r="M184" i="1" s="1"/>
  <c r="F184" i="1"/>
  <c r="H184" i="1" s="1"/>
  <c r="K183" i="1"/>
  <c r="M183" i="1" s="1"/>
  <c r="F183" i="1"/>
  <c r="H183" i="1" s="1"/>
  <c r="K182" i="1"/>
  <c r="M182" i="1" s="1"/>
  <c r="F182" i="1"/>
  <c r="H182" i="1" s="1"/>
  <c r="O182" i="1" s="1"/>
  <c r="K181" i="1"/>
  <c r="M181" i="1" s="1"/>
  <c r="F181" i="1"/>
  <c r="H181" i="1" s="1"/>
  <c r="K180" i="1"/>
  <c r="M180" i="1" s="1"/>
  <c r="F180" i="1"/>
  <c r="H180" i="1" s="1"/>
  <c r="K179" i="1"/>
  <c r="M179" i="1" s="1"/>
  <c r="F179" i="1"/>
  <c r="H179" i="1" s="1"/>
  <c r="K178" i="1"/>
  <c r="M178" i="1" s="1"/>
  <c r="F178" i="1"/>
  <c r="H178" i="1" s="1"/>
  <c r="K177" i="1"/>
  <c r="M177" i="1" s="1"/>
  <c r="F177" i="1"/>
  <c r="H177" i="1" s="1"/>
  <c r="K176" i="1"/>
  <c r="M176" i="1" s="1"/>
  <c r="F176" i="1"/>
  <c r="H176" i="1" s="1"/>
  <c r="O176" i="1" s="1"/>
  <c r="K175" i="1"/>
  <c r="M175" i="1" s="1"/>
  <c r="F175" i="1"/>
  <c r="H175" i="1" s="1"/>
  <c r="K174" i="1"/>
  <c r="M174" i="1" s="1"/>
  <c r="F174" i="1"/>
  <c r="H174" i="1" s="1"/>
  <c r="O174" i="1" s="1"/>
  <c r="K173" i="1"/>
  <c r="M173" i="1" s="1"/>
  <c r="F173" i="1"/>
  <c r="H173" i="1" s="1"/>
  <c r="K172" i="1"/>
  <c r="M172" i="1" s="1"/>
  <c r="F172" i="1"/>
  <c r="H172" i="1" s="1"/>
  <c r="K171" i="1"/>
  <c r="M171" i="1" s="1"/>
  <c r="F171" i="1"/>
  <c r="H171" i="1" s="1"/>
  <c r="O171" i="1" s="1"/>
  <c r="K170" i="1"/>
  <c r="M170" i="1" s="1"/>
  <c r="F170" i="1"/>
  <c r="H170" i="1" s="1"/>
  <c r="K169" i="1"/>
  <c r="M169" i="1" s="1"/>
  <c r="F169" i="1"/>
  <c r="H169" i="1" s="1"/>
  <c r="K168" i="1"/>
  <c r="M168" i="1" s="1"/>
  <c r="F168" i="1"/>
  <c r="H168" i="1" s="1"/>
  <c r="K167" i="1"/>
  <c r="M167" i="1" s="1"/>
  <c r="F167" i="1"/>
  <c r="H167" i="1" s="1"/>
  <c r="K166" i="1"/>
  <c r="M166" i="1" s="1"/>
  <c r="F166" i="1"/>
  <c r="H166" i="1" s="1"/>
  <c r="K165" i="1"/>
  <c r="M165" i="1" s="1"/>
  <c r="F165" i="1"/>
  <c r="H165" i="1" s="1"/>
  <c r="K164" i="1"/>
  <c r="M164" i="1" s="1"/>
  <c r="F164" i="1"/>
  <c r="H164" i="1" s="1"/>
  <c r="K163" i="1"/>
  <c r="M163" i="1" s="1"/>
  <c r="F163" i="1"/>
  <c r="H163" i="1" s="1"/>
  <c r="K162" i="1"/>
  <c r="M162" i="1" s="1"/>
  <c r="F162" i="1"/>
  <c r="H162" i="1" s="1"/>
  <c r="K161" i="1"/>
  <c r="M161" i="1" s="1"/>
  <c r="F161" i="1"/>
  <c r="H161" i="1" s="1"/>
  <c r="K160" i="1"/>
  <c r="M160" i="1" s="1"/>
  <c r="F160" i="1"/>
  <c r="H160" i="1" s="1"/>
  <c r="K159" i="1"/>
  <c r="M159" i="1" s="1"/>
  <c r="F159" i="1"/>
  <c r="H159" i="1" s="1"/>
  <c r="O159" i="1" s="1"/>
  <c r="K158" i="1"/>
  <c r="M158" i="1" s="1"/>
  <c r="F158" i="1"/>
  <c r="H158" i="1" s="1"/>
  <c r="O158" i="1" s="1"/>
  <c r="K157" i="1"/>
  <c r="M157" i="1" s="1"/>
  <c r="F157" i="1"/>
  <c r="H157" i="1" s="1"/>
  <c r="K156" i="1"/>
  <c r="M156" i="1" s="1"/>
  <c r="F156" i="1"/>
  <c r="H156" i="1" s="1"/>
  <c r="K155" i="1"/>
  <c r="M155" i="1" s="1"/>
  <c r="F155" i="1"/>
  <c r="H155" i="1" s="1"/>
  <c r="O194" i="1" l="1"/>
  <c r="O177" i="1"/>
  <c r="O165" i="1"/>
  <c r="O167" i="1"/>
  <c r="O195" i="1"/>
  <c r="O188" i="1"/>
  <c r="O173" i="1"/>
  <c r="O197" i="1"/>
  <c r="O161" i="1"/>
  <c r="O156" i="1"/>
  <c r="O185" i="1"/>
  <c r="O192" i="1"/>
  <c r="O155" i="1"/>
  <c r="O179" i="1"/>
  <c r="O160" i="1"/>
  <c r="O172" i="1"/>
  <c r="O187" i="1"/>
  <c r="O175" i="1"/>
  <c r="O157" i="1"/>
  <c r="O178" i="1"/>
  <c r="O193" i="1"/>
  <c r="O196" i="1"/>
  <c r="O166" i="1"/>
  <c r="O163" i="1"/>
  <c r="O184" i="1"/>
  <c r="O181" i="1"/>
  <c r="O169" i="1"/>
  <c r="O180" i="1"/>
  <c r="O190" i="1"/>
  <c r="O162" i="1"/>
  <c r="O164" i="1"/>
  <c r="O183" i="1"/>
  <c r="O198" i="1"/>
  <c r="O168" i="1"/>
  <c r="O170" i="1"/>
  <c r="O189" i="1"/>
  <c r="K154" i="1" l="1"/>
  <c r="M154" i="1" s="1"/>
  <c r="F154" i="1"/>
  <c r="H154" i="1" s="1"/>
  <c r="O154" i="1" s="1"/>
  <c r="K153" i="1"/>
  <c r="M153" i="1" s="1"/>
  <c r="F153" i="1"/>
  <c r="H153" i="1" s="1"/>
  <c r="K152" i="1"/>
  <c r="M152" i="1" s="1"/>
  <c r="F152" i="1"/>
  <c r="H152" i="1" s="1"/>
  <c r="K151" i="1"/>
  <c r="M151" i="1" s="1"/>
  <c r="F151" i="1"/>
  <c r="H151" i="1" s="1"/>
  <c r="O151" i="1" s="1"/>
  <c r="K150" i="1"/>
  <c r="M150" i="1" s="1"/>
  <c r="F150" i="1"/>
  <c r="H150" i="1" s="1"/>
  <c r="K149" i="1"/>
  <c r="M149" i="1" s="1"/>
  <c r="F149" i="1"/>
  <c r="H149" i="1" s="1"/>
  <c r="K148" i="1"/>
  <c r="M148" i="1" s="1"/>
  <c r="F148" i="1"/>
  <c r="H148" i="1" s="1"/>
  <c r="K147" i="1"/>
  <c r="M147" i="1" s="1"/>
  <c r="F147" i="1"/>
  <c r="H147" i="1" s="1"/>
  <c r="K146" i="1"/>
  <c r="M146" i="1" s="1"/>
  <c r="F146" i="1"/>
  <c r="H146" i="1" s="1"/>
  <c r="K145" i="1"/>
  <c r="M145" i="1" s="1"/>
  <c r="F145" i="1"/>
  <c r="H145" i="1" s="1"/>
  <c r="K144" i="1"/>
  <c r="M144" i="1" s="1"/>
  <c r="F144" i="1"/>
  <c r="H144" i="1" s="1"/>
  <c r="K143" i="1"/>
  <c r="M143" i="1" s="1"/>
  <c r="F143" i="1"/>
  <c r="H143" i="1" s="1"/>
  <c r="K142" i="1"/>
  <c r="M142" i="1" s="1"/>
  <c r="F142" i="1"/>
  <c r="H142" i="1" s="1"/>
  <c r="K141" i="1"/>
  <c r="M141" i="1" s="1"/>
  <c r="F141" i="1"/>
  <c r="H141" i="1" s="1"/>
  <c r="K140" i="1"/>
  <c r="M140" i="1" s="1"/>
  <c r="F140" i="1"/>
  <c r="H140" i="1" s="1"/>
  <c r="K139" i="1"/>
  <c r="M139" i="1" s="1"/>
  <c r="F139" i="1"/>
  <c r="H139" i="1" s="1"/>
  <c r="O144" i="1" l="1"/>
  <c r="O142" i="1"/>
  <c r="O145" i="1"/>
  <c r="O143" i="1"/>
  <c r="O152" i="1"/>
  <c r="O141" i="1"/>
  <c r="O149" i="1"/>
  <c r="O153" i="1"/>
  <c r="O147" i="1"/>
  <c r="O140" i="1"/>
  <c r="O139" i="1"/>
  <c r="O146" i="1"/>
  <c r="O148" i="1"/>
  <c r="O150" i="1"/>
  <c r="K138" i="1" l="1"/>
  <c r="M138" i="1" s="1"/>
  <c r="F138" i="1"/>
  <c r="H138" i="1" s="1"/>
  <c r="O138" i="1" s="1"/>
  <c r="K137" i="1"/>
  <c r="M137" i="1" s="1"/>
  <c r="F137" i="1"/>
  <c r="H137" i="1" s="1"/>
  <c r="K136" i="1"/>
  <c r="M136" i="1" s="1"/>
  <c r="F136" i="1"/>
  <c r="H136" i="1" s="1"/>
  <c r="K135" i="1"/>
  <c r="M135" i="1" s="1"/>
  <c r="F135" i="1"/>
  <c r="H135" i="1" s="1"/>
  <c r="K134" i="1"/>
  <c r="M134" i="1" s="1"/>
  <c r="F134" i="1"/>
  <c r="H134" i="1" s="1"/>
  <c r="O134" i="1" s="1"/>
  <c r="K133" i="1"/>
  <c r="M133" i="1" s="1"/>
  <c r="F133" i="1"/>
  <c r="H133" i="1" s="1"/>
  <c r="K132" i="1"/>
  <c r="M132" i="1" s="1"/>
  <c r="F132" i="1"/>
  <c r="H132" i="1" s="1"/>
  <c r="O132" i="1" s="1"/>
  <c r="K131" i="1"/>
  <c r="M131" i="1" s="1"/>
  <c r="F131" i="1"/>
  <c r="H131" i="1" s="1"/>
  <c r="K130" i="1"/>
  <c r="M130" i="1" s="1"/>
  <c r="F130" i="1"/>
  <c r="H130" i="1" s="1"/>
  <c r="K129" i="1"/>
  <c r="M129" i="1" s="1"/>
  <c r="F129" i="1"/>
  <c r="H129" i="1" s="1"/>
  <c r="K128" i="1"/>
  <c r="M128" i="1" s="1"/>
  <c r="F128" i="1"/>
  <c r="H128" i="1" s="1"/>
  <c r="K127" i="1"/>
  <c r="M127" i="1" s="1"/>
  <c r="F127" i="1"/>
  <c r="H127" i="1" s="1"/>
  <c r="K126" i="1"/>
  <c r="M126" i="1" s="1"/>
  <c r="F126" i="1"/>
  <c r="H126" i="1" s="1"/>
  <c r="O126" i="1" s="1"/>
  <c r="K125" i="1"/>
  <c r="M125" i="1" s="1"/>
  <c r="F125" i="1"/>
  <c r="H125" i="1" s="1"/>
  <c r="K124" i="1"/>
  <c r="M124" i="1" s="1"/>
  <c r="F124" i="1"/>
  <c r="H124" i="1" s="1"/>
  <c r="K123" i="1"/>
  <c r="M123" i="1" s="1"/>
  <c r="F123" i="1"/>
  <c r="H123" i="1" s="1"/>
  <c r="K122" i="1"/>
  <c r="M122" i="1" s="1"/>
  <c r="F122" i="1"/>
  <c r="H122" i="1" s="1"/>
  <c r="O122" i="1" s="1"/>
  <c r="K121" i="1"/>
  <c r="M121" i="1" s="1"/>
  <c r="F121" i="1"/>
  <c r="H121" i="1" s="1"/>
  <c r="K120" i="1"/>
  <c r="M120" i="1" s="1"/>
  <c r="F120" i="1"/>
  <c r="H120" i="1" s="1"/>
  <c r="O120" i="1" s="1"/>
  <c r="K119" i="1"/>
  <c r="M119" i="1" s="1"/>
  <c r="F119" i="1"/>
  <c r="H119" i="1" s="1"/>
  <c r="K118" i="1"/>
  <c r="M118" i="1" s="1"/>
  <c r="F118" i="1"/>
  <c r="H118" i="1" s="1"/>
  <c r="K117" i="1"/>
  <c r="M117" i="1" s="1"/>
  <c r="F117" i="1"/>
  <c r="H117" i="1" s="1"/>
  <c r="K116" i="1"/>
  <c r="M116" i="1" s="1"/>
  <c r="F116" i="1"/>
  <c r="H116" i="1" s="1"/>
  <c r="K115" i="1"/>
  <c r="M115" i="1" s="1"/>
  <c r="F115" i="1"/>
  <c r="H115" i="1" s="1"/>
  <c r="K114" i="1"/>
  <c r="M114" i="1" s="1"/>
  <c r="F114" i="1"/>
  <c r="H114" i="1" s="1"/>
  <c r="O114" i="1" s="1"/>
  <c r="K113" i="1"/>
  <c r="M113" i="1" s="1"/>
  <c r="F113" i="1"/>
  <c r="H113" i="1" s="1"/>
  <c r="K112" i="1"/>
  <c r="M112" i="1" s="1"/>
  <c r="F112" i="1"/>
  <c r="H112" i="1" s="1"/>
  <c r="K111" i="1"/>
  <c r="M111" i="1" s="1"/>
  <c r="F111" i="1"/>
  <c r="H111" i="1" s="1"/>
  <c r="K110" i="1"/>
  <c r="M110" i="1" s="1"/>
  <c r="F110" i="1"/>
  <c r="H110" i="1" s="1"/>
  <c r="O110" i="1" s="1"/>
  <c r="K109" i="1"/>
  <c r="M109" i="1" s="1"/>
  <c r="F109" i="1"/>
  <c r="H109" i="1" s="1"/>
  <c r="K108" i="1"/>
  <c r="M108" i="1" s="1"/>
  <c r="F108" i="1"/>
  <c r="H108" i="1" s="1"/>
  <c r="O108" i="1" s="1"/>
  <c r="K107" i="1"/>
  <c r="M107" i="1" s="1"/>
  <c r="F107" i="1"/>
  <c r="H107" i="1" s="1"/>
  <c r="K106" i="1"/>
  <c r="M106" i="1" s="1"/>
  <c r="F106" i="1"/>
  <c r="H106" i="1" s="1"/>
  <c r="K105" i="1"/>
  <c r="M105" i="1" s="1"/>
  <c r="F105" i="1"/>
  <c r="H105" i="1" s="1"/>
  <c r="K104" i="1"/>
  <c r="M104" i="1" s="1"/>
  <c r="F104" i="1"/>
  <c r="H104" i="1" s="1"/>
  <c r="O104" i="1" s="1"/>
  <c r="K103" i="1"/>
  <c r="M103" i="1" s="1"/>
  <c r="F103" i="1"/>
  <c r="H103" i="1" s="1"/>
  <c r="K102" i="1"/>
  <c r="M102" i="1" s="1"/>
  <c r="F102" i="1"/>
  <c r="H102" i="1" s="1"/>
  <c r="K101" i="1"/>
  <c r="M101" i="1" s="1"/>
  <c r="F101" i="1"/>
  <c r="H101" i="1" s="1"/>
  <c r="K100" i="1"/>
  <c r="M100" i="1" s="1"/>
  <c r="F100" i="1"/>
  <c r="H100" i="1" s="1"/>
  <c r="K99" i="1"/>
  <c r="M99" i="1" s="1"/>
  <c r="F99" i="1"/>
  <c r="H99" i="1" s="1"/>
  <c r="K98" i="1"/>
  <c r="M98" i="1" s="1"/>
  <c r="F98" i="1"/>
  <c r="H98" i="1" s="1"/>
  <c r="K97" i="1"/>
  <c r="M97" i="1" s="1"/>
  <c r="F97" i="1"/>
  <c r="H97" i="1" s="1"/>
  <c r="K96" i="1"/>
  <c r="M96" i="1" s="1"/>
  <c r="F96" i="1"/>
  <c r="H96" i="1" s="1"/>
  <c r="O96" i="1" s="1"/>
  <c r="K95" i="1"/>
  <c r="M95" i="1" s="1"/>
  <c r="F95" i="1"/>
  <c r="H95" i="1" s="1"/>
  <c r="O116" i="1" l="1"/>
  <c r="O128" i="1"/>
  <c r="O102" i="1"/>
  <c r="O98" i="1"/>
  <c r="O100" i="1"/>
  <c r="O106" i="1"/>
  <c r="O112" i="1"/>
  <c r="O118" i="1"/>
  <c r="O124" i="1"/>
  <c r="O130" i="1"/>
  <c r="O136" i="1"/>
  <c r="O95" i="1"/>
  <c r="O97" i="1"/>
  <c r="O99" i="1"/>
  <c r="O101" i="1"/>
  <c r="O103" i="1"/>
  <c r="O105" i="1"/>
  <c r="O107" i="1"/>
  <c r="O109" i="1"/>
  <c r="O111" i="1"/>
  <c r="O113" i="1"/>
  <c r="O115" i="1"/>
  <c r="O117" i="1"/>
  <c r="O119" i="1"/>
  <c r="O121" i="1"/>
  <c r="O123" i="1"/>
  <c r="O125" i="1"/>
  <c r="O127" i="1"/>
  <c r="O129" i="1"/>
  <c r="O131" i="1"/>
  <c r="O133" i="1"/>
  <c r="O135" i="1"/>
  <c r="O137" i="1"/>
  <c r="K94" i="1" l="1"/>
  <c r="M94" i="1" s="1"/>
  <c r="F94" i="1"/>
  <c r="H94" i="1" s="1"/>
  <c r="O94" i="1" s="1"/>
  <c r="K93" i="1"/>
  <c r="M93" i="1" s="1"/>
  <c r="F93" i="1"/>
  <c r="H93" i="1" s="1"/>
  <c r="K92" i="1"/>
  <c r="M92" i="1" s="1"/>
  <c r="F92" i="1"/>
  <c r="H92" i="1" s="1"/>
  <c r="K91" i="1"/>
  <c r="M91" i="1" s="1"/>
  <c r="F91" i="1"/>
  <c r="H91" i="1" s="1"/>
  <c r="K90" i="1"/>
  <c r="M90" i="1" s="1"/>
  <c r="F90" i="1"/>
  <c r="H90" i="1" s="1"/>
  <c r="K89" i="1"/>
  <c r="M89" i="1" s="1"/>
  <c r="F89" i="1"/>
  <c r="H89" i="1" s="1"/>
  <c r="O89" i="1" s="1"/>
  <c r="K88" i="1"/>
  <c r="M88" i="1" s="1"/>
  <c r="F88" i="1"/>
  <c r="H88" i="1" s="1"/>
  <c r="K87" i="1"/>
  <c r="M87" i="1" s="1"/>
  <c r="F87" i="1"/>
  <c r="H87" i="1" s="1"/>
  <c r="K86" i="1"/>
  <c r="M86" i="1" s="1"/>
  <c r="F86" i="1"/>
  <c r="H86" i="1" s="1"/>
  <c r="K85" i="1"/>
  <c r="M85" i="1" s="1"/>
  <c r="F85" i="1"/>
  <c r="H85" i="1" s="1"/>
  <c r="K84" i="1"/>
  <c r="M84" i="1" s="1"/>
  <c r="F84" i="1"/>
  <c r="H84" i="1" s="1"/>
  <c r="K83" i="1"/>
  <c r="M83" i="1" s="1"/>
  <c r="F83" i="1"/>
  <c r="H83" i="1" s="1"/>
  <c r="O83" i="1" s="1"/>
  <c r="K82" i="1"/>
  <c r="M82" i="1" s="1"/>
  <c r="F82" i="1"/>
  <c r="H82" i="1" s="1"/>
  <c r="O82" i="1" s="1"/>
  <c r="K81" i="1"/>
  <c r="M81" i="1" s="1"/>
  <c r="F81" i="1"/>
  <c r="H81" i="1" s="1"/>
  <c r="K80" i="1"/>
  <c r="M80" i="1" s="1"/>
  <c r="F80" i="1"/>
  <c r="H80" i="1" s="1"/>
  <c r="K79" i="1"/>
  <c r="M79" i="1" s="1"/>
  <c r="F79" i="1"/>
  <c r="H79" i="1" s="1"/>
  <c r="O79" i="1" s="1"/>
  <c r="K78" i="1"/>
  <c r="M78" i="1" s="1"/>
  <c r="F78" i="1"/>
  <c r="H78" i="1" s="1"/>
  <c r="K77" i="1"/>
  <c r="M77" i="1" s="1"/>
  <c r="F77" i="1"/>
  <c r="H77" i="1" s="1"/>
  <c r="K76" i="1"/>
  <c r="M76" i="1" s="1"/>
  <c r="F76" i="1"/>
  <c r="H76" i="1" s="1"/>
  <c r="K75" i="1"/>
  <c r="M75" i="1" s="1"/>
  <c r="F75" i="1"/>
  <c r="H75" i="1" s="1"/>
  <c r="K74" i="1"/>
  <c r="M74" i="1" s="1"/>
  <c r="F74" i="1"/>
  <c r="H74" i="1" s="1"/>
  <c r="K73" i="1"/>
  <c r="M73" i="1" s="1"/>
  <c r="F73" i="1"/>
  <c r="H73" i="1" s="1"/>
  <c r="O73" i="1" s="1"/>
  <c r="K72" i="1"/>
  <c r="M72" i="1" s="1"/>
  <c r="F72" i="1"/>
  <c r="H72" i="1" s="1"/>
  <c r="K71" i="1"/>
  <c r="M71" i="1" s="1"/>
  <c r="F71" i="1"/>
  <c r="H71" i="1" s="1"/>
  <c r="O71" i="1" s="1"/>
  <c r="K70" i="1"/>
  <c r="M70" i="1" s="1"/>
  <c r="F70" i="1"/>
  <c r="H70" i="1" s="1"/>
  <c r="K69" i="1"/>
  <c r="M69" i="1" s="1"/>
  <c r="F69" i="1"/>
  <c r="H69" i="1" s="1"/>
  <c r="K68" i="1"/>
  <c r="M68" i="1" s="1"/>
  <c r="F68" i="1"/>
  <c r="H68" i="1" s="1"/>
  <c r="K67" i="1"/>
  <c r="M67" i="1" s="1"/>
  <c r="F67" i="1"/>
  <c r="H67" i="1" s="1"/>
  <c r="K66" i="1"/>
  <c r="M66" i="1" s="1"/>
  <c r="F66" i="1"/>
  <c r="H66" i="1" s="1"/>
  <c r="O66" i="1" s="1"/>
  <c r="K65" i="1"/>
  <c r="M65" i="1" s="1"/>
  <c r="F65" i="1"/>
  <c r="H65" i="1" s="1"/>
  <c r="O65" i="1" s="1"/>
  <c r="K64" i="1"/>
  <c r="M64" i="1" s="1"/>
  <c r="F64" i="1"/>
  <c r="H64" i="1" s="1"/>
  <c r="K63" i="1"/>
  <c r="M63" i="1" s="1"/>
  <c r="F63" i="1"/>
  <c r="H63" i="1" s="1"/>
  <c r="K62" i="1"/>
  <c r="M62" i="1" s="1"/>
  <c r="F62" i="1"/>
  <c r="H62" i="1" s="1"/>
  <c r="K61" i="1"/>
  <c r="M61" i="1" s="1"/>
  <c r="F61" i="1"/>
  <c r="H61" i="1" s="1"/>
  <c r="K60" i="1"/>
  <c r="M60" i="1" s="1"/>
  <c r="F60" i="1"/>
  <c r="H60" i="1" s="1"/>
  <c r="K59" i="1"/>
  <c r="M59" i="1" s="1"/>
  <c r="F59" i="1"/>
  <c r="H59" i="1" s="1"/>
  <c r="K58" i="1"/>
  <c r="M58" i="1" s="1"/>
  <c r="F58" i="1"/>
  <c r="H58" i="1" s="1"/>
  <c r="O58" i="1" s="1"/>
  <c r="K57" i="1"/>
  <c r="M57" i="1" s="1"/>
  <c r="F57" i="1"/>
  <c r="H57" i="1" s="1"/>
  <c r="K56" i="1"/>
  <c r="M56" i="1" s="1"/>
  <c r="F56" i="1"/>
  <c r="H56" i="1" s="1"/>
  <c r="K55" i="1"/>
  <c r="M55" i="1" s="1"/>
  <c r="F55" i="1"/>
  <c r="H55" i="1" s="1"/>
  <c r="K54" i="1"/>
  <c r="M54" i="1" s="1"/>
  <c r="F54" i="1"/>
  <c r="H54" i="1" s="1"/>
  <c r="K53" i="1"/>
  <c r="M53" i="1" s="1"/>
  <c r="F53" i="1"/>
  <c r="H53" i="1" s="1"/>
  <c r="K52" i="1"/>
  <c r="M52" i="1" s="1"/>
  <c r="F52" i="1"/>
  <c r="H52" i="1" s="1"/>
  <c r="O91" i="1" l="1"/>
  <c r="O52" i="1"/>
  <c r="O60" i="1"/>
  <c r="O77" i="1"/>
  <c r="O85" i="1"/>
  <c r="O53" i="1"/>
  <c r="O76" i="1"/>
  <c r="O54" i="1"/>
  <c r="O81" i="1"/>
  <c r="O59" i="1"/>
  <c r="O64" i="1"/>
  <c r="O87" i="1"/>
  <c r="O80" i="1"/>
  <c r="O69" i="1"/>
  <c r="O57" i="1"/>
  <c r="O70" i="1"/>
  <c r="O86" i="1"/>
  <c r="O88" i="1"/>
  <c r="O74" i="1"/>
  <c r="O92" i="1"/>
  <c r="O55" i="1"/>
  <c r="O63" i="1"/>
  <c r="O68" i="1"/>
  <c r="O75" i="1"/>
  <c r="O84" i="1"/>
  <c r="O93" i="1"/>
  <c r="O56" i="1"/>
  <c r="O61" i="1"/>
  <c r="O78" i="1"/>
  <c r="O62" i="1"/>
  <c r="O67" i="1"/>
  <c r="O72" i="1"/>
  <c r="O90" i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2" i="1"/>
  <c r="M2" i="1" s="1"/>
  <c r="F3" i="1"/>
  <c r="H3" i="1" s="1"/>
  <c r="F4" i="1"/>
  <c r="H4" i="1" s="1"/>
  <c r="O4" i="1" s="1"/>
  <c r="F5" i="1"/>
  <c r="H5" i="1" s="1"/>
  <c r="F6" i="1"/>
  <c r="H6" i="1" s="1"/>
  <c r="O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O22" i="1" s="1"/>
  <c r="F23" i="1"/>
  <c r="H23" i="1" s="1"/>
  <c r="F24" i="1"/>
  <c r="H24" i="1" s="1"/>
  <c r="F25" i="1"/>
  <c r="H25" i="1" s="1"/>
  <c r="O25" i="1" s="1"/>
  <c r="F26" i="1"/>
  <c r="H26" i="1" s="1"/>
  <c r="F27" i="1"/>
  <c r="H27" i="1" s="1"/>
  <c r="F28" i="1"/>
  <c r="H28" i="1" s="1"/>
  <c r="F29" i="1"/>
  <c r="H29" i="1" s="1"/>
  <c r="F30" i="1"/>
  <c r="H30" i="1" s="1"/>
  <c r="O30" i="1" s="1"/>
  <c r="F31" i="1"/>
  <c r="H31" i="1" s="1"/>
  <c r="O31" i="1" s="1"/>
  <c r="F32" i="1"/>
  <c r="H32" i="1" s="1"/>
  <c r="F33" i="1"/>
  <c r="H33" i="1" s="1"/>
  <c r="F34" i="1"/>
  <c r="H34" i="1" s="1"/>
  <c r="F35" i="1"/>
  <c r="H35" i="1" s="1"/>
  <c r="F36" i="1"/>
  <c r="H36" i="1" s="1"/>
  <c r="O36" i="1" s="1"/>
  <c r="F37" i="1"/>
  <c r="H37" i="1" s="1"/>
  <c r="O37" i="1" s="1"/>
  <c r="F38" i="1"/>
  <c r="H38" i="1" s="1"/>
  <c r="F39" i="1"/>
  <c r="H39" i="1" s="1"/>
  <c r="F40" i="1"/>
  <c r="H40" i="1" s="1"/>
  <c r="F41" i="1"/>
  <c r="H41" i="1" s="1"/>
  <c r="F42" i="1"/>
  <c r="H42" i="1" s="1"/>
  <c r="O42" i="1" s="1"/>
  <c r="F43" i="1"/>
  <c r="H43" i="1" s="1"/>
  <c r="O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2" i="1"/>
  <c r="H2" i="1" s="1"/>
  <c r="O48" i="1" l="1"/>
  <c r="O13" i="1"/>
  <c r="O12" i="1"/>
  <c r="O49" i="1"/>
  <c r="O44" i="1"/>
  <c r="O20" i="1"/>
  <c r="O19" i="1"/>
  <c r="O18" i="1"/>
  <c r="O38" i="1"/>
  <c r="O33" i="1"/>
  <c r="O50" i="1"/>
  <c r="O51" i="1"/>
  <c r="O15" i="1"/>
  <c r="O21" i="1"/>
  <c r="O26" i="1"/>
  <c r="O3" i="1"/>
  <c r="O9" i="1"/>
  <c r="O32" i="1"/>
  <c r="O14" i="1"/>
  <c r="O27" i="1"/>
  <c r="O40" i="1"/>
  <c r="O24" i="1"/>
  <c r="O8" i="1"/>
  <c r="O45" i="1"/>
  <c r="O39" i="1"/>
  <c r="O7" i="1"/>
  <c r="O16" i="1"/>
  <c r="O47" i="1"/>
  <c r="O29" i="1"/>
  <c r="O11" i="1"/>
  <c r="O17" i="1"/>
  <c r="O2" i="1"/>
  <c r="O35" i="1"/>
  <c r="O34" i="1"/>
  <c r="O46" i="1"/>
  <c r="O28" i="1"/>
  <c r="O10" i="1"/>
  <c r="O41" i="1"/>
  <c r="O23" i="1"/>
  <c r="O5" i="1"/>
</calcChain>
</file>

<file path=xl/sharedStrings.xml><?xml version="1.0" encoding="utf-8"?>
<sst xmlns="http://schemas.openxmlformats.org/spreadsheetml/2006/main" count="2567" uniqueCount="423">
  <si>
    <t>N°</t>
  </si>
  <si>
    <t>Apellidos y Nombres</t>
  </si>
  <si>
    <t>E3</t>
  </si>
  <si>
    <t>PF</t>
  </si>
  <si>
    <t>Condición</t>
  </si>
  <si>
    <t>Desaprobado</t>
  </si>
  <si>
    <t>AGUILAR CCORIMANYA MARIA MAGDALINA</t>
  </si>
  <si>
    <t xml:space="preserve">ALBINO PRADO PIERO ANDERSON </t>
  </si>
  <si>
    <t xml:space="preserve">ALVAREZ MINAYA RICHARD JOSHUA EDUARDO </t>
  </si>
  <si>
    <t>AMBROCIO GONZALES DANUSKA AYLEEN</t>
  </si>
  <si>
    <t>ASTETE RICRA JOSSELYN JAZMIN</t>
  </si>
  <si>
    <t>BARBARAN CHINGUEL KATE KAROLINE</t>
  </si>
  <si>
    <t>BERMUDEZ ALOSILLA SABRINA NICOLE</t>
  </si>
  <si>
    <t>BERNAOLA CAMPOS SEBASTIAN ANDRE</t>
  </si>
  <si>
    <t>CARRERO CARRANZA ANA CRISTINA</t>
  </si>
  <si>
    <t>CASTILLO CARHUATOCTO DIEGO FERNANDO</t>
  </si>
  <si>
    <t>CASTRO CISNEROS ENRIQUE JOSUE</t>
  </si>
  <si>
    <t xml:space="preserve">CCOICCA CCAPACCA LIZBETH </t>
  </si>
  <si>
    <t>CERDA PALOMINO LUZ ANDREA</t>
  </si>
  <si>
    <t>ESPIELL DIAZ FATIMA ANDREA</t>
  </si>
  <si>
    <t>ESPIRITU ILUSTRE ANAHI ASUMI</t>
  </si>
  <si>
    <t>FACTOR FERNANDEZ FIORELLA ANDREA</t>
  </si>
  <si>
    <t>GOICOCHEA BARDALES FRANCIS DAVID</t>
  </si>
  <si>
    <t xml:space="preserve">GONZALES MEZA OSCAR FRANCISCO </t>
  </si>
  <si>
    <t xml:space="preserve">GUZMAN SULCA ANDREW GABRIEL </t>
  </si>
  <si>
    <t>HERNANDEZ PALOMINO ROSALIA YVON</t>
  </si>
  <si>
    <t>IPARRAGUIRRE SALDAÑA DANIEL GUILLERMO</t>
  </si>
  <si>
    <t>LAGOS ORÉ ARIANA MERILY</t>
  </si>
  <si>
    <t xml:space="preserve">LAZARO MEDRANO MERY ANYHELINA </t>
  </si>
  <si>
    <t xml:space="preserve">MANJIER LIVIA MARIANA ANGEKA </t>
  </si>
  <si>
    <t xml:space="preserve">MIUCCIO OLIVEIRA NIZA MARIA </t>
  </si>
  <si>
    <t xml:space="preserve">MORALES RUEDA ANDREA CAROLINA </t>
  </si>
  <si>
    <t>PABLO PABLO CAMILA ANDREA</t>
  </si>
  <si>
    <t xml:space="preserve">PACSI DELGADO SILVABA ALEJANDRA </t>
  </si>
  <si>
    <t>PALACIOS RODRIGUEZ HAROLD FABRIZIO</t>
  </si>
  <si>
    <t xml:space="preserve">PANTOJA HUAROC ANTHONY LAZIER </t>
  </si>
  <si>
    <t xml:space="preserve">PAZ PARDO GABRIELA ESTEFANI </t>
  </si>
  <si>
    <t>PEÑA CABRERA MELANE ABIGAIL</t>
  </si>
  <si>
    <t>QUISPE OEREZ LUCIA FIORELA</t>
  </si>
  <si>
    <t>ROJAS DIAZ CHRISTOPHER SAUL WENCESLAO</t>
  </si>
  <si>
    <t>ROJAS SILVA RUSSELL LUIS JACEK</t>
  </si>
  <si>
    <t>ROSENTHAL DELGADO MARIO JEFERSON</t>
  </si>
  <si>
    <t xml:space="preserve">RUIZ DAVILA FRANCO ALESSIO </t>
  </si>
  <si>
    <t xml:space="preserve">SANCHEZ RODRIGUEZ DEYMER </t>
  </si>
  <si>
    <t>SIMABUCO CABRERA MATEO JOSUE</t>
  </si>
  <si>
    <t xml:space="preserve">TUCTO QUISPE ALEXANDRA </t>
  </si>
  <si>
    <t>URVISAGASTEGUI BRIEÑO STEPHANY MARGARITA</t>
  </si>
  <si>
    <t>VARGAS VILLARAN DANIEL FRANCISCO</t>
  </si>
  <si>
    <t>VERDE CACHICATARI ANGIE ALESSANDRA</t>
  </si>
  <si>
    <t>VILLA CABRERA HILARY ZURAMA</t>
  </si>
  <si>
    <t>VILLENA GARCIA AUDRY ALEXYA</t>
  </si>
  <si>
    <t>VILLON SANCHEZ LESLI LIZ</t>
  </si>
  <si>
    <t xml:space="preserve">YACTAYO REYES FERNANDO DANIEL </t>
  </si>
  <si>
    <t>YALTA LADRÓN DE GUEVARA ZULEYKA LETIZIA</t>
  </si>
  <si>
    <t xml:space="preserve">YARLEQUE MARTINEZ LORENA </t>
  </si>
  <si>
    <t xml:space="preserve">ZEGARRA QUICAÑO GIOMAR ADRIANO </t>
  </si>
  <si>
    <t>NP</t>
  </si>
  <si>
    <t>Promedio de la Fase 2
60%</t>
  </si>
  <si>
    <t>Promedio de la Fase 1
40%</t>
  </si>
  <si>
    <t>UD1</t>
  </si>
  <si>
    <t>DATOS PERSONALES</t>
  </si>
  <si>
    <t>SEM 01</t>
  </si>
  <si>
    <t>SEM 02</t>
  </si>
  <si>
    <t>SEM 03</t>
  </si>
  <si>
    <t>SEM 04</t>
  </si>
  <si>
    <t>AGUILAR CCORIMANYA, Maria Magdalina</t>
  </si>
  <si>
    <t>A</t>
  </si>
  <si>
    <t> ALBINO PRADO, Piero Anderson</t>
  </si>
  <si>
    <t> ALVAREZ MINAYA, Richard Joshua Eduardo</t>
  </si>
  <si>
    <t> AMBROCIO GONZALES, Danuska Ayleen</t>
  </si>
  <si>
    <t> ASTETE RICRA, Josselyn Jazmin</t>
  </si>
  <si>
    <t>F</t>
  </si>
  <si>
    <t> BARBARAN CHINGUEL, Kate Karoline</t>
  </si>
  <si>
    <t> BERMUDEZ ALOSILLA, Sabrina Nicole</t>
  </si>
  <si>
    <t> BERNAOLA CAMPOS, Sebastian Andre</t>
  </si>
  <si>
    <t> CARRERO CARRANZA, Ana Cristina</t>
  </si>
  <si>
    <t> CASTILLO CARHUATOCTO, Diego Fernando</t>
  </si>
  <si>
    <t> CASTRO CISNEROS, Enrique Josue</t>
  </si>
  <si>
    <t> CCOICCA CCAPACCA, Lizbeth</t>
  </si>
  <si>
    <t> CERDA PALOMINO, Luz Andrea</t>
  </si>
  <si>
    <t> ESPIELL DIAZ, Fatima Andrea</t>
  </si>
  <si>
    <t> ESPIRITU LUSTRE, Anahi Asumi</t>
  </si>
  <si>
    <t> FACTOR FERNANDEZ, Fiorella Andrea</t>
  </si>
  <si>
    <t> GOICOCHEA BARDALES, Francis David</t>
  </si>
  <si>
    <t> GONZALES MEZA, Oscar Francisco</t>
  </si>
  <si>
    <t> GUZMAN SULCA, Andrew Gabriel</t>
  </si>
  <si>
    <t> HERNANDEZ PALOMINO, Rosalia Yvon</t>
  </si>
  <si>
    <t> IPARRAGUIRRE SALDAÑA, Daniel Guillermo</t>
  </si>
  <si>
    <t> LAGOS ORE, Ariana Merily</t>
  </si>
  <si>
    <t> LAZARO MEDRANO, Mery Anyhelina</t>
  </si>
  <si>
    <t> MANJIER LIVIA, Mariana Angela</t>
  </si>
  <si>
    <t> MIUCCIO OLIVEIRA, Niza Maria</t>
  </si>
  <si>
    <t> MORALES RUEDA, Andrea Carolina</t>
  </si>
  <si>
    <t> PABLO PABLO, Camila Andrea</t>
  </si>
  <si>
    <t> PACSI DELGADO, Silvana Alejandra</t>
  </si>
  <si>
    <t> PALACIOS RODRIGUEZ, Harold Fabrizio</t>
  </si>
  <si>
    <t> PANTOJA HUAROC, Anthony Lanzier</t>
  </si>
  <si>
    <t> PAZ PARDO, Grabiela Estefani</t>
  </si>
  <si>
    <t> PEÑA CABRERA, Melane Abigail</t>
  </si>
  <si>
    <t> QUISPE PEREZ, Lucia Fiorela</t>
  </si>
  <si>
    <t> ROJAS DIAZ, Christopher Saul Wenceslao</t>
  </si>
  <si>
    <t> ROJAS SILVA, Russell Luis Jacek</t>
  </si>
  <si>
    <t> ROSENTHAL DELGADO, Mario Jeferson</t>
  </si>
  <si>
    <t> RUIZ DAVILA, Franco Alessio</t>
  </si>
  <si>
    <t> SANCHEZ RODRIGUEZ, Deymer</t>
  </si>
  <si>
    <t> SIMABUCO CABRERA, Mateo Josue</t>
  </si>
  <si>
    <t> TUCTO QUISPE, Alexandra</t>
  </si>
  <si>
    <t> URVISAGASTEGUI BRICEÑO, Stephany Margarita</t>
  </si>
  <si>
    <t> VARGAS VILLARAN, Daniel Francisco</t>
  </si>
  <si>
    <t> VERDE CACHICATARI, Angie Alessandra</t>
  </si>
  <si>
    <t> VILLA CABRERA, Hilary Zurama</t>
  </si>
  <si>
    <t xml:space="preserve">VILLENA GARCIA, AUDRY ALEXYA </t>
  </si>
  <si>
    <t xml:space="preserve">VILLON SANCHEZ  LEZLI LIZ </t>
  </si>
  <si>
    <t>YACTAYO REYES, Fernando Daniel</t>
  </si>
  <si>
    <t>YALTA LADRÓN DE GUEVARA, Zuleyka Letizia</t>
  </si>
  <si>
    <t>Yarleque martinez, Lorena</t>
  </si>
  <si>
    <t>ZEGARRA QUICAÑO, Giomae Adriano Fernando</t>
  </si>
  <si>
    <t>ALANYA PUMALLIHUA, DAENA ISABEL</t>
  </si>
  <si>
    <t>ARCE JARAMILLO, NOEMI  RUTH</t>
  </si>
  <si>
    <t>BANCES ESPINOZA, JENNYFER DAJANA</t>
  </si>
  <si>
    <t>CAJACHAGUA ALANYA, SAMY MARIESTHER</t>
  </si>
  <si>
    <t>CAMACHO DÍAZ, GABRIELA FERNANDA</t>
  </si>
  <si>
    <t>CAMPOS BARRANTES, GERSON JAIR</t>
  </si>
  <si>
    <t>CÁRDENAS CAMARGO, PAMELA ANDREA</t>
  </si>
  <si>
    <t>CARHUAYANO DIAZ, ANTHONY ADRIAN</t>
  </si>
  <si>
    <t>CARLOS DE LA CRUZ, JOSE ERASMO</t>
  </si>
  <si>
    <t>CRUZ GARAY, ROSA ANGELICA</t>
  </si>
  <si>
    <t>DAVILA PEREZ, MANUEL VALENTINO</t>
  </si>
  <si>
    <t>FALCON ZEVALLOS, JHINA MARIA</t>
  </si>
  <si>
    <t>FERNANDEZ LLANOS, JIMMY MAURICIO</t>
  </si>
  <si>
    <t>GALLEGOS SHUPINGAHUA, NICOLE YASHIRA</t>
  </si>
  <si>
    <t>GONZALES CURICO, DAYRA LIZANIA</t>
  </si>
  <si>
    <t>GUINEA OTAÑE, AARON ALESSANDRO</t>
  </si>
  <si>
    <t>HINSBI ROJAS, KENNIA ALEXANDRA</t>
  </si>
  <si>
    <t>HUAMAN SANCHEZ, LUZ DANIELA</t>
  </si>
  <si>
    <t>JIMENEZ OSEDA, JELEN JASMIN</t>
  </si>
  <si>
    <t>LAURENTE VILCAS, SANDRA GABRIELA</t>
  </si>
  <si>
    <t>LOZA JULCA, MAYTE MILAGROS</t>
  </si>
  <si>
    <t>MACHUCA DAVIRAN, ESTHER MARIANELA</t>
  </si>
  <si>
    <t>MACHUCA DAVIRAN, RUT GENESIS</t>
  </si>
  <si>
    <t>MEDINA VENTO, YADHIRA MILAGROS</t>
  </si>
  <si>
    <t>MEJIA BUENDIA, VALENTINO ISRAEL</t>
  </si>
  <si>
    <t>MENDOZA CARPIO, ASTRID BRISSET</t>
  </si>
  <si>
    <t>MENDOZA VEGA, KEYLA GARMITHA</t>
  </si>
  <si>
    <t>ORTIZ COTRINA, MELANIA</t>
  </si>
  <si>
    <t>PERICHE SANTOS, JANICE STEPHANY</t>
  </si>
  <si>
    <t>REQUE CHAFLOQUE, CRISTIAN ANTONIO</t>
  </si>
  <si>
    <t>REYES QUIÑONES, ANDREA VICTORIA</t>
  </si>
  <si>
    <t>RIOS LOPEZ, ANALY VIVIANA</t>
  </si>
  <si>
    <t>ROJAS CHÁVEZ, MILAGROS JANNET</t>
  </si>
  <si>
    <t>RUIZ BRICEÑO, NALLELY TAMARA</t>
  </si>
  <si>
    <t>SAAVEDRA VELA, JUSTIN OSMAR</t>
  </si>
  <si>
    <t>SAAVEDRA VELA, TEDDY JESÚS</t>
  </si>
  <si>
    <t>SALAZAR BUSTAMANTE, MIGUEL ANGEL</t>
  </si>
  <si>
    <t>SILVA PAZOS, SHANTAL ANTONELLA</t>
  </si>
  <si>
    <t>TIPIANA CASIANO, OLGA WALESKA</t>
  </si>
  <si>
    <t>URQUIAGA RAMIREZ, WALTER JOHN</t>
  </si>
  <si>
    <t>VALDIVIEZO DE LA CRUZ, ANGEL</t>
  </si>
  <si>
    <t>VEGA HUANCA, FRANKLIN JEREMIAS</t>
  </si>
  <si>
    <t>VIDAL QUITO, ADRIAN GERARDO</t>
  </si>
  <si>
    <t>AVILA JIMENEZ YHANIRA XIOMARA</t>
  </si>
  <si>
    <t>AVILA QUIROZ DIEGO ALESSANDRO</t>
  </si>
  <si>
    <t>BANCES SANTAMARIA CARLOS MIGUEL</t>
  </si>
  <si>
    <t>BARDALES FERNANDEZ JHUNELI JHULISA</t>
  </si>
  <si>
    <t>BERNAL GARCIA XIMENA ALEJANDRA</t>
  </si>
  <si>
    <t>CALLE CASTILLO ERALIO</t>
  </si>
  <si>
    <t>CARBAJAL VISOSA ERIKA BELU</t>
  </si>
  <si>
    <t>CARHUAZ CANTARO DAYANNA ALEXANDRA</t>
  </si>
  <si>
    <t xml:space="preserve">CASTAÑEDA RAMOS ESPERANZA </t>
  </si>
  <si>
    <t>CHAFLOQUE PUICON BRIGITH YAMILE</t>
  </si>
  <si>
    <t xml:space="preserve">CHERO MEZA ANGIE ABIGAIL </t>
  </si>
  <si>
    <t>CONTRERAS TRUJILLO GRACIAS REBECA</t>
  </si>
  <si>
    <t>FERNANDEZ YIKA LILIANA PAMELA</t>
  </si>
  <si>
    <t>GIL PEÑAHERRERA VIOLETA DEL ROSRIO</t>
  </si>
  <si>
    <t xml:space="preserve">HEREDIA RETO NAYDELIN CARLA </t>
  </si>
  <si>
    <t xml:space="preserve">HUAMAN TERAN CESAR MAURICIO </t>
  </si>
  <si>
    <t>HUARACHA AGUILAR JAZMIN ANGELINA</t>
  </si>
  <si>
    <t>HURTADO GOMEZ JEANCARLOS JUNIORS</t>
  </si>
  <si>
    <t>LAURA MANDUJANO LIDSAY MELIN</t>
  </si>
  <si>
    <t xml:space="preserve">LEON CARO ALEXANDRA MILAGROS </t>
  </si>
  <si>
    <t>LINO ECHEVARRIA XIOMARA YOSELIN</t>
  </si>
  <si>
    <t>MENDOZA FLORES YAMIR JOEL</t>
  </si>
  <si>
    <t xml:space="preserve">NAVARRO CASTILLO JOSUE URIEL </t>
  </si>
  <si>
    <t>NUÑEZ CUBILLAS LAYESKA HAYTANA</t>
  </si>
  <si>
    <t>OBREGON LOPEZ FABRICIO ANDRE</t>
  </si>
  <si>
    <t>ORDOÑEZ VICENTE DANILO DIEGO</t>
  </si>
  <si>
    <t>PATIÑO SUCRE ALEXANDER</t>
  </si>
  <si>
    <t>PINEDA PINEDA LUIGGI SERGIO</t>
  </si>
  <si>
    <t>QUICA FERNANDEZ MARIA JOAQUINA</t>
  </si>
  <si>
    <t>QUISPE TTITO WILSON ESTALIN</t>
  </si>
  <si>
    <t>RODRIGUEZ HERRADA JOMAYRA ALEXANDRA</t>
  </si>
  <si>
    <t>ROSALES VIVAS JEAN POOL</t>
  </si>
  <si>
    <t xml:space="preserve">SALAZAR VARGAS IRVING BRAYAN </t>
  </si>
  <si>
    <t>SALINAS MONSERRATE DIEGO GONZALO</t>
  </si>
  <si>
    <t>SILVERA ORIHUELA SOREL</t>
  </si>
  <si>
    <t xml:space="preserve">TARAZONA PAZ JOSE GABRIEL </t>
  </si>
  <si>
    <t>TICONA RIVERA MARIA ALEJANDRA</t>
  </si>
  <si>
    <t xml:space="preserve">TORRES POMAHUACRE SILVIA LIA </t>
  </si>
  <si>
    <t>TRIGOZO ARROYO MARTHA LOICIT</t>
  </si>
  <si>
    <t>TRINIDAD LEÓN ODETT VIRGINIA</t>
  </si>
  <si>
    <t>VALLE MEDRANO FRANZ MARCELO</t>
  </si>
  <si>
    <t>VERGARAY JULCA SHIRLEY BRIGITTE</t>
  </si>
  <si>
    <t xml:space="preserve">YUPANQUI MARQUEZ YANIRA YULIANA </t>
  </si>
  <si>
    <t xml:space="preserve">ZAPATA PACHERREZ NAHOMI BRIGGITH </t>
  </si>
  <si>
    <t>ALBURQUEQUE ALDERETE,JULIO ANDRES ANGELO</t>
  </si>
  <si>
    <t>BARREROS FLORES,THALIA FRANCIS</t>
  </si>
  <si>
    <t>BLAS GRIJALVA,SADITH LEYDY</t>
  </si>
  <si>
    <t>CALDERON LAZO,RAUL ALEXIS</t>
  </si>
  <si>
    <t>CASAVILCA DIAZ,YULISSA MARIE</t>
  </si>
  <si>
    <t>ESTRADA JAVIER,DANYCSA YESIL</t>
  </si>
  <si>
    <t>FRISANCHO UCEDA,LAURA NATALIA</t>
  </si>
  <si>
    <t>LARA CRUZ,ANGELINA DAYANA</t>
  </si>
  <si>
    <t>PEREZ LOZADA,JOSÃ‰ HERNAN</t>
  </si>
  <si>
    <t>RAMIREZ VALDIVIA,SOLIMÃN MATÃAS</t>
  </si>
  <si>
    <t>RECHARTE TRUCIOS,FRANCCESCA ALESSANDRA</t>
  </si>
  <si>
    <t>SHEEN MORENO,MATEO ANTONIO</t>
  </si>
  <si>
    <t>SIESQUEN VIDAURRE,JOEL ISAC</t>
  </si>
  <si>
    <t>UGARTE CASTILLO,KIARA DANIELA</t>
  </si>
  <si>
    <t>VELA LOO,ABIGAIL ESTEFANNY</t>
  </si>
  <si>
    <t>YANAYACO CARHUAPOMA,MARALY MASSIEL</t>
  </si>
  <si>
    <t>ACOSTA IZAGUIRRE,MASIEL ESTRELLA</t>
  </si>
  <si>
    <t>AGUILAR MINAYA,ARHON JHOSEIN</t>
  </si>
  <si>
    <t>AYMA CHULLO,SANDRA</t>
  </si>
  <si>
    <t>BAZAN RAVINA,ANTHUANE DEL PILAR</t>
  </si>
  <si>
    <t>CACERES ALVARADO,SOL ELIZABETH</t>
  </si>
  <si>
    <t>CALDERÓN ESPINOZA,JOSÉ DAVID</t>
  </si>
  <si>
    <t>CANELO LAZO,DAYHANNA MICHAEL</t>
  </si>
  <si>
    <t>CASTILLO HERRERA,ELA BERENISSE</t>
  </si>
  <si>
    <t>CASTILLO VILLANUEVA,LUCIA CAROLINA</t>
  </si>
  <si>
    <t>CAYA MACEDO,HIRLEY JASMIN</t>
  </si>
  <si>
    <t>CRISANTO RIOJAS,JHAIR SEBASTIÁN</t>
  </si>
  <si>
    <t>CRUZ CHILCON,SEBASTIAN SILVESTRE</t>
  </si>
  <si>
    <t>FLORES MARIN,LUIS BRENNER</t>
  </si>
  <si>
    <t>GOMEZ QUISPE,GREYSI ANALY</t>
  </si>
  <si>
    <t>GUTIERREZ ROJAS,ANAHI</t>
  </si>
  <si>
    <t>HILDEBRANDT DI FLAVIANO,VALERIA</t>
  </si>
  <si>
    <t>HUANCA MATOS,GISELA</t>
  </si>
  <si>
    <t>IPANAQUE NUÑEZ,FABRICIO ANIEL</t>
  </si>
  <si>
    <t>JAMANCA RAMIREZ,MARYPAZ</t>
  </si>
  <si>
    <t>LLAJARUNA ARANDA,ALEX EFRAIN</t>
  </si>
  <si>
    <t>LLAMOCTANTA ALENDEZ,SANY SONG</t>
  </si>
  <si>
    <t>LUYO YUPANQUI,ARIAN ALONSO</t>
  </si>
  <si>
    <t>MAMANI SANCHEZ,EDWIN JOSEPH</t>
  </si>
  <si>
    <t>MATA ALBINES,ZOILA ALONDRA</t>
  </si>
  <si>
    <t>MELGAREJO GOMEZ,JUAN JOSE</t>
  </si>
  <si>
    <t>MONTALVA MESIAS,NICOLE AILLEN</t>
  </si>
  <si>
    <t>MONTESINOS MORALES,VIVIANA ORFELIA</t>
  </si>
  <si>
    <t>NATIVIDAD ARROYO,RAUL PEPE</t>
  </si>
  <si>
    <t>NIÑO DE GUZMAN BEDREGAL,DANTE</t>
  </si>
  <si>
    <t>PACHECO MALLAUPOMA,NICOLE ANTHONELLA</t>
  </si>
  <si>
    <t>PASQUEL PERALTA,CARLOS MARTIN</t>
  </si>
  <si>
    <t>REBAZA CALDERON,MIGUEL ALBERTO</t>
  </si>
  <si>
    <t>RENGIFO CCAICURI,PEDRO ANDERSON</t>
  </si>
  <si>
    <t>REVOREDO AGUILAR,STEICY AIRIS LILI BETH</t>
  </si>
  <si>
    <t>REYES MANRIQUE,NAOMI NATIVIDAD</t>
  </si>
  <si>
    <t>ROJAS DELGADO,LUCERO BRIGHIT</t>
  </si>
  <si>
    <t>SALAZAR VERDI,ALEXANDRA LORENZ</t>
  </si>
  <si>
    <t>SANCHEZ ALVARADO,CAROLINE STEFANY</t>
  </si>
  <si>
    <t>SANTIAGO TUEROS,BIANCA GIANELLA DEYANIRA</t>
  </si>
  <si>
    <t>SULCA ALMEIDA,YASUMY AIMAR</t>
  </si>
  <si>
    <t>TITO HERNANDEZ,XIOMARA DE LOS ANGELES</t>
  </si>
  <si>
    <t>TRELLES ALVA,LEONEL FABRICIO</t>
  </si>
  <si>
    <t>URBANO GAMARRA,CHRISTOPHER BAYRON</t>
  </si>
  <si>
    <t>YURIVILCA CHAGUA,VIQUER POOL</t>
  </si>
  <si>
    <t>ARCE GARCIA,DARCY JOEL</t>
  </si>
  <si>
    <t>BACHANI RENGIFO,MATHIAS JAEL</t>
  </si>
  <si>
    <t>BELLIDO VILCHEZ,POOL EDUARDO</t>
  </si>
  <si>
    <t>CABANILLAS VERA,MARIA ESTHER</t>
  </si>
  <si>
    <t>CALERO TOMAS,ELMER VIRGINIO</t>
  </si>
  <si>
    <t>CAVERO MENDOZA,ARIANA ELBA</t>
  </si>
  <si>
    <t>DE LA CRUZ TENORIO,ISAAC JHOEL</t>
  </si>
  <si>
    <t>ESPINOZA CAPCHA,ARNOLD EMANUEL</t>
  </si>
  <si>
    <t>FALCONI ESPINOZA,ALEXANDER MICHAEL</t>
  </si>
  <si>
    <t>GAGO ARTEAGA,ELISABETH YESENIA</t>
  </si>
  <si>
    <t>GASPAR SEDANO,HEVER SAUL</t>
  </si>
  <si>
    <t>GONZALES ALCANTARA,JAHRIFF ALEXANDER</t>
  </si>
  <si>
    <t>GONZALES ROSALES,HANSS MEYER</t>
  </si>
  <si>
    <t>GONZALEZ SANTILLAN,ALBERTO MIJAIL</t>
  </si>
  <si>
    <t>LEANDRO MELGAREJO,STEVEN JESUS</t>
  </si>
  <si>
    <t>LEON AGURTO,VALERIA MICHELLE</t>
  </si>
  <si>
    <t>LINARES PALOMINO,FARID SEBASTIAN</t>
  </si>
  <si>
    <t>LUDEÑA SALCEDO,GEMS ALDAIR</t>
  </si>
  <si>
    <t>MANRIQUE ACOSTA,GRACY NICOLL</t>
  </si>
  <si>
    <t>MONCADA SILVA,SEBASTIAN NICOLAS</t>
  </si>
  <si>
    <t>ORE ARANGO,ROBERTH WILLIAM</t>
  </si>
  <si>
    <t>PURIZACA BANCES,VICTORIA ANAHY</t>
  </si>
  <si>
    <t>SACAICO CONTRERAS,ELVIS SEBASTIAN</t>
  </si>
  <si>
    <t>SAMANAMUD PATRICIO,DANIEL ARTURO</t>
  </si>
  <si>
    <t>SANTOS NIÑO,LUIS ANGEL</t>
  </si>
  <si>
    <t>URPEQUE ESPINOZA,ENOC JARED</t>
  </si>
  <si>
    <t>T</t>
  </si>
  <si>
    <t>P</t>
  </si>
  <si>
    <t>FJ</t>
  </si>
  <si>
    <t>AVILA JIMENES, Yhanira Xiomara</t>
  </si>
  <si>
    <t> AVILA QUIROZ, Diego Alessandro</t>
  </si>
  <si>
    <t> BANCES SANTAMARIA, Carlos Miguel</t>
  </si>
  <si>
    <t> BARDALES FERNANDEZ, Jhuneli Jhulisa</t>
  </si>
  <si>
    <t> BERNAL GARCIA, Ximena Alejandra</t>
  </si>
  <si>
    <t> CALLE CASTILLO, Eralio</t>
  </si>
  <si>
    <t> CARBAJAL VISOSA, Erika Belu</t>
  </si>
  <si>
    <t> CARHUAZ CANTARO, Dayanna Alexandra</t>
  </si>
  <si>
    <t> CASTAÑEDA RAMOS, Esperanza Mercedes</t>
  </si>
  <si>
    <t> CHAFLOQUE PUICON, Brigith Yamile</t>
  </si>
  <si>
    <t> CONTRERAS TRUJILLO, Gracia Rebeca</t>
  </si>
  <si>
    <t> FERNANDEZ YIKA, Liliana Pamela</t>
  </si>
  <si>
    <t> GIL PEÑAHERRERA, Violeta Del Rosario</t>
  </si>
  <si>
    <t> HEREDIA RETO, Naydelin Carla</t>
  </si>
  <si>
    <t> HUAMAN TERAN, Cesar Mauricio</t>
  </si>
  <si>
    <t> HUARACHA AGUILAR, Jazmin Angelina</t>
  </si>
  <si>
    <t> HURTADO GOMEZ, Jeancarlos Juniors</t>
  </si>
  <si>
    <t> LAURA MANDUJANO, Lidsay Melin</t>
  </si>
  <si>
    <t> LEON CARO, Alexandra Milagros</t>
  </si>
  <si>
    <t> LINO ECHEVARRÍA, Xiomara Yoselin</t>
  </si>
  <si>
    <t> MENDOZA FLORES, Yamir Joel</t>
  </si>
  <si>
    <t> NAVARRO CASTILLO, Josue Uriel</t>
  </si>
  <si>
    <t> NUÑEZ CUBILLAS, Layeska Haytana</t>
  </si>
  <si>
    <t> OBREGON LOPEZ, Fabricio Andre</t>
  </si>
  <si>
    <t> ORDOÑEZ VICENTE, Danilo Diego</t>
  </si>
  <si>
    <t> PATIÑO SUCRE, Alexander</t>
  </si>
  <si>
    <t> PINEDA PINEDA, Luiggi Sergio</t>
  </si>
  <si>
    <t> QUICA FERNANDEZ, Maria Joaquina</t>
  </si>
  <si>
    <t> QUISPE TTITO, Wilson Estalin</t>
  </si>
  <si>
    <t> RODRIGUEZ HERRADA, Jomayra Alexandra</t>
  </si>
  <si>
    <t> ROSALES VIVAS, Jean Pool</t>
  </si>
  <si>
    <t> SALAZAR VARGAS, Irving Brayan</t>
  </si>
  <si>
    <t> SALINAS MONSERRATE, Diego Gonzalo</t>
  </si>
  <si>
    <t> SILVERA ORIHUELA, Sorel</t>
  </si>
  <si>
    <t> TARAZONA PAZ, Jose Gabriel</t>
  </si>
  <si>
    <t> TICONA RIVERA, Maria Alejandra</t>
  </si>
  <si>
    <t> TORRES POMAHUACRE, Silvia Lía</t>
  </si>
  <si>
    <t> TRIGOZO ARROYO, Martha Loicit</t>
  </si>
  <si>
    <t> TRINIDAD LEON, Odett Virginia</t>
  </si>
  <si>
    <t> VALLE MEDRANO, Franz Marcelo</t>
  </si>
  <si>
    <t> VERGARAY JULCA, Shirley Brigitte</t>
  </si>
  <si>
    <t> VILLAVICENCIO DEL AGUILA, Jose Alonso</t>
  </si>
  <si>
    <t> YUPANQUI MARQUEZ, Yanira Yuliana</t>
  </si>
  <si>
    <t> ZAPATA PACHERREZ, Nahomy Briggith</t>
  </si>
  <si>
    <t> BLAS GRIJALVA, Sadith Leydy</t>
  </si>
  <si>
    <t> ALBURQUEQUE ALDERETE, Julio Andres Angelo</t>
  </si>
  <si>
    <t> BARREROS FLORES, Thalia Francis</t>
  </si>
  <si>
    <t> CALDERON LAZO, Raul Alexis</t>
  </si>
  <si>
    <t> CASAVILCA DIAZ, Yulissa Marie</t>
  </si>
  <si>
    <t> ESTRADA JAVIER, Danycsa Yesil</t>
  </si>
  <si>
    <t> FRISANCHO UCEDA, Laura Natalia</t>
  </si>
  <si>
    <t> LARA CRUZ, Angelina Dayana</t>
  </si>
  <si>
    <t> PEREZ LOZADA, José Hernan</t>
  </si>
  <si>
    <t> RAMIREZ VALDIVIA, Solimán Matías</t>
  </si>
  <si>
    <t> RECHARTE TRUCIOS, Franccesca Alessandra</t>
  </si>
  <si>
    <t> SHEEN MORENO, Mateo Antonio</t>
  </si>
  <si>
    <t> SIESQUEN VIDAURRE, Joel Isac</t>
  </si>
  <si>
    <t> UGARTE CASTILLO, Kiara Daniela</t>
  </si>
  <si>
    <t> VELA LOO, Abigail Estefanny</t>
  </si>
  <si>
    <t> YANAYACO CARHUAPOMA, Maraly Massiel</t>
  </si>
  <si>
    <t> ACOSTA IZAGUIRRE, Masiel Estrella</t>
  </si>
  <si>
    <t> AGUILAR MINAYA, Arhon Jhosein</t>
  </si>
  <si>
    <t> AYMA CHULLO, Sandra</t>
  </si>
  <si>
    <t> BAZAN RAVINA, Anthuane Del Pilar</t>
  </si>
  <si>
    <t> CACERES ALVARADO, Sol Elizabeth</t>
  </si>
  <si>
    <t> CALDERÓN ESPINOZA, José David</t>
  </si>
  <si>
    <t> CANELO LAZO, Dayhanna Michael</t>
  </si>
  <si>
    <t> CASTILLO HERRERA, Ela Berenisse</t>
  </si>
  <si>
    <t> CASTILLO VILLANUEVA, Lucia Carolina</t>
  </si>
  <si>
    <t> CAYA MACEDO, Hirley Jasmin</t>
  </si>
  <si>
    <t> CRISANTO RIOJAS, Jhair Sebastián</t>
  </si>
  <si>
    <t> CRUZ CHILCON, Sebastian Silvestre</t>
  </si>
  <si>
    <t> FLORES MARIN, Luis Brenner</t>
  </si>
  <si>
    <t> GOMEZ QUISPE, Greysi Analy</t>
  </si>
  <si>
    <t> GUTIERREZ ROJAS, Anahi</t>
  </si>
  <si>
    <t> HILDEBRANDT DI FLAVIANO, Valeria</t>
  </si>
  <si>
    <t> HUANCA MATOS, Gisela</t>
  </si>
  <si>
    <t> IPANAQUE NUÑEZ, Fabricio Aniel</t>
  </si>
  <si>
    <t> JAMANCA RAMIREZ, Marypaz</t>
  </si>
  <si>
    <t> LLAJARUNA ARANDA, Alex Efrain</t>
  </si>
  <si>
    <t> LLAMOCTANTA ALENDEZ, Sany Song</t>
  </si>
  <si>
    <t> LUYO YUPANQUI, Arian Alonso</t>
  </si>
  <si>
    <t> MAMANI SANCHEZ, Edwin Joseph</t>
  </si>
  <si>
    <t> MATA ALBINES, Zoila Alondra</t>
  </si>
  <si>
    <t> MELGAREJO GOMEZ, Juan Jose</t>
  </si>
  <si>
    <t> MONTALVA MESIAS, Nicole Aillen</t>
  </si>
  <si>
    <t> MONTESINOS MORALES, Viviana Orfelia</t>
  </si>
  <si>
    <t> NATIVIDAD ARROYO, Raul Pepe</t>
  </si>
  <si>
    <t> NIÑO DE GUZMAN BEDREGAL, Dante</t>
  </si>
  <si>
    <t> PACHECO MALLAUPOMA, Nicole Anthonella</t>
  </si>
  <si>
    <t> PASQUEL PERALTA, Carlos Martin</t>
  </si>
  <si>
    <t> RENGIFO CCAICURI, Pedro Anderson</t>
  </si>
  <si>
    <t> REVOREDO AGUILAR, Steicy Airis Lili Beth</t>
  </si>
  <si>
    <t> REYES MANRIQUE, Naomi Natividad</t>
  </si>
  <si>
    <t> ROJAS DELGADO, Lucero Brighit</t>
  </si>
  <si>
    <t> SALAZAR VERDI, Alexandra Lorenz</t>
  </si>
  <si>
    <t> SANCHEZ ALVARADO, Caroline Stefany</t>
  </si>
  <si>
    <t> SANTIAGO TUEROS, Bianca Gianella Deyanira</t>
  </si>
  <si>
    <t> SULCA ALMEIDA, Yasumy Aimar</t>
  </si>
  <si>
    <t> TITO HERNANDEZ, Xiomara De Los Angeles</t>
  </si>
  <si>
    <t> TRELLES ALVA, Leonel Fabricio</t>
  </si>
  <si>
    <t> URBANO GAMARRA, Christopher Bayron</t>
  </si>
  <si>
    <t> YURIVILCA CHAGUA, Viquer Pool</t>
  </si>
  <si>
    <t> ARCE GARCIA, Darcy Joel</t>
  </si>
  <si>
    <t> BACHANI RENGIFO, Mathias Jael</t>
  </si>
  <si>
    <t> BELLIDO VILCHEZ, Pool Eduardo</t>
  </si>
  <si>
    <t> CABANILLAS VERA, Maria Esther</t>
  </si>
  <si>
    <t> CALERO TOMAS, Elmer Virginio</t>
  </si>
  <si>
    <t> CAVERO MENDOZA, Ariana Elba</t>
  </si>
  <si>
    <t> DE LA CRUZ TENORIO, Isaac Jhoel</t>
  </si>
  <si>
    <t> ESPINOZA CAPCHA, Arnold Emanuel</t>
  </si>
  <si>
    <t> FALCONI ESPINOZA, Alexander Michael</t>
  </si>
  <si>
    <t> GAGO ARTEAGA, Elisabeth Yesenia</t>
  </si>
  <si>
    <t> GASPAR SEDANO, Hever Saul</t>
  </si>
  <si>
    <t> GONZALES ALCANTARA, Jahriff Alexander</t>
  </si>
  <si>
    <t> GONZALES ROSALES, Hanss Meyer</t>
  </si>
  <si>
    <t> GONZALEZ SANTILLAN, Alberto Mijail</t>
  </si>
  <si>
    <t> LEANDRO MELGAREJO, Steven Jesus</t>
  </si>
  <si>
    <t> LEON AGURTO, Valeria Michelle</t>
  </si>
  <si>
    <t> LINARES PALOMINO, Farid Sebastian</t>
  </si>
  <si>
    <t> LUDEÑA SALCEDO, Gems Aldair</t>
  </si>
  <si>
    <t> MANRIQUE ACOSTA, Gracy Nicoll</t>
  </si>
  <si>
    <t> MONCADA SILVA, Sebastian Nicolas</t>
  </si>
  <si>
    <t> ORE ARANGO, Roberth William</t>
  </si>
  <si>
    <t> PURIZACA BANCES, Victoria Anahy</t>
  </si>
  <si>
    <t> SACAICO CONTRERAS, Elvis Sebastian</t>
  </si>
  <si>
    <t> SAMANAMUD PATRICIO, Daniel Arturo</t>
  </si>
  <si>
    <t> SANTOS NIÑO, Luis Angel</t>
  </si>
  <si>
    <t> URPEQUE ESPINOZA, Enoc Jared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</si>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</sst>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0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C00000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CE6F1"/>
        <bgColor rgb="FFDCE6F1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8C8D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1" fontId="5" fillId="5" borderId="7" xfId="0" applyNumberFormat="1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1" fontId="6" fillId="2" borderId="7" xfId="0" applyNumberFormat="1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0" fontId="8" fillId="0" borderId="9" xfId="0" applyFont="1" applyBorder="1" applyAlignment="1">
      <alignment horizontal="center" vertical="center" wrapText="1"/>
    </xf>
    <xf numFmtId="1" fontId="5" fillId="5" borderId="9" xfId="0" applyNumberFormat="1" applyFont="1" applyFill="1" applyBorder="1" applyAlignment="1">
      <alignment horizontal="center" wrapText="1"/>
    </xf>
    <xf numFmtId="0" fontId="9" fillId="0" borderId="9" xfId="0" applyFont="1" applyBorder="1" applyAlignment="1">
      <alignment horizontal="center" vertical="center" wrapText="1"/>
    </xf>
    <xf numFmtId="164" fontId="5" fillId="6" borderId="7" xfId="0" applyNumberFormat="1" applyFont="1" applyFill="1" applyBorder="1" applyAlignment="1">
      <alignment horizontal="center" wrapText="1"/>
    </xf>
    <xf numFmtId="0" fontId="0" fillId="0" borderId="6" xfId="0" applyBorder="1"/>
    <xf numFmtId="0" fontId="0" fillId="11" borderId="9" xfId="0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wrapText="1"/>
    </xf>
    <xf numFmtId="0" fontId="2" fillId="11" borderId="9" xfId="0" applyFont="1" applyFill="1" applyBorder="1" applyAlignment="1">
      <alignment horizontal="center" wrapText="1"/>
    </xf>
    <xf numFmtId="0" fontId="0" fillId="11" borderId="6" xfId="0" applyFill="1" applyBorder="1"/>
    <xf numFmtId="0" fontId="0" fillId="11" borderId="0" xfId="0" applyFill="1"/>
    <xf numFmtId="0" fontId="2" fillId="11" borderId="9" xfId="0" applyFont="1" applyFill="1" applyBorder="1" applyAlignment="1">
      <alignment horizontal="center"/>
    </xf>
    <xf numFmtId="16" fontId="12" fillId="10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 vertical="center" wrapText="1"/>
    </xf>
    <xf numFmtId="1" fontId="5" fillId="5" borderId="12" xfId="0" applyNumberFormat="1" applyFont="1" applyFill="1" applyBorder="1" applyAlignment="1">
      <alignment horizontal="center" wrapText="1"/>
    </xf>
    <xf numFmtId="0" fontId="14" fillId="13" borderId="11" xfId="0" applyFont="1" applyFill="1" applyBorder="1" applyAlignment="1">
      <alignment horizontal="center" wrapText="1"/>
    </xf>
    <xf numFmtId="0" fontId="16" fillId="0" borderId="9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wrapText="1"/>
    </xf>
    <xf numFmtId="0" fontId="17" fillId="0" borderId="9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wrapText="1"/>
    </xf>
    <xf numFmtId="0" fontId="18" fillId="11" borderId="9" xfId="0" applyFont="1" applyFill="1" applyBorder="1" applyAlignment="1">
      <alignment horizontal="center" vertical="center"/>
    </xf>
    <xf numFmtId="0" fontId="19" fillId="11" borderId="9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wrapText="1"/>
    </xf>
    <xf numFmtId="0" fontId="14" fillId="2" borderId="14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20" fillId="2" borderId="11" xfId="0" applyFont="1" applyFill="1" applyBorder="1" applyAlignment="1">
      <alignment horizontal="center" wrapText="1"/>
    </xf>
    <xf numFmtId="0" fontId="20" fillId="2" borderId="9" xfId="0" applyFont="1" applyFill="1" applyBorder="1" applyAlignment="1">
      <alignment horizontal="center" wrapText="1"/>
    </xf>
    <xf numFmtId="0" fontId="1" fillId="0" borderId="3" xfId="0" applyFont="1" applyBorder="1"/>
    <xf numFmtId="0" fontId="1" fillId="0" borderId="13" xfId="0" applyFont="1" applyBorder="1"/>
    <xf numFmtId="0" fontId="1" fillId="0" borderId="7" xfId="0" applyFont="1" applyBorder="1"/>
    <xf numFmtId="0" fontId="1" fillId="0" borderId="9" xfId="0" applyFont="1" applyBorder="1"/>
    <xf numFmtId="0" fontId="18" fillId="2" borderId="3" xfId="0" applyFont="1" applyFill="1" applyBorder="1" applyAlignment="1">
      <alignment vertical="center" wrapText="1"/>
    </xf>
    <xf numFmtId="0" fontId="22" fillId="0" borderId="3" xfId="0" applyFont="1" applyBorder="1"/>
    <xf numFmtId="0" fontId="22" fillId="12" borderId="3" xfId="0" applyFont="1" applyFill="1" applyBorder="1"/>
    <xf numFmtId="0" fontId="18" fillId="2" borderId="9" xfId="0" applyFont="1" applyFill="1" applyBorder="1" applyAlignment="1">
      <alignment vertical="center" wrapText="1"/>
    </xf>
    <xf numFmtId="0" fontId="18" fillId="2" borderId="13" xfId="0" applyFont="1" applyFill="1" applyBorder="1" applyAlignment="1">
      <alignment vertical="center" wrapText="1"/>
    </xf>
    <xf numFmtId="0" fontId="22" fillId="0" borderId="13" xfId="0" applyFont="1" applyBorder="1"/>
    <xf numFmtId="0" fontId="22" fillId="13" borderId="13" xfId="0" applyFont="1" applyFill="1" applyBorder="1"/>
    <xf numFmtId="0" fontId="18" fillId="2" borderId="7" xfId="0" applyFont="1" applyFill="1" applyBorder="1" applyAlignment="1">
      <alignment vertical="center" wrapText="1"/>
    </xf>
    <xf numFmtId="0" fontId="22" fillId="0" borderId="7" xfId="0" applyFont="1" applyBorder="1"/>
    <xf numFmtId="0" fontId="22" fillId="12" borderId="7" xfId="0" applyFont="1" applyFill="1" applyBorder="1"/>
    <xf numFmtId="0" fontId="22" fillId="0" borderId="9" xfId="0" applyFont="1" applyBorder="1"/>
    <xf numFmtId="0" fontId="22" fillId="12" borderId="9" xfId="0" applyFont="1" applyFill="1" applyBorder="1"/>
    <xf numFmtId="0" fontId="5" fillId="0" borderId="3" xfId="0" applyFont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wrapText="1"/>
    </xf>
    <xf numFmtId="0" fontId="1" fillId="13" borderId="9" xfId="0" applyFont="1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 wrapText="1"/>
    </xf>
    <xf numFmtId="0" fontId="22" fillId="11" borderId="9" xfId="0" applyFont="1" applyFill="1" applyBorder="1" applyAlignment="1">
      <alignment horizontal="center" vertical="center" wrapText="1"/>
    </xf>
    <xf numFmtId="0" fontId="22" fillId="11" borderId="9" xfId="0" applyFont="1" applyFill="1" applyBorder="1" applyAlignment="1">
      <alignment horizontal="center" wrapText="1"/>
    </xf>
    <xf numFmtId="0" fontId="13" fillId="11" borderId="9" xfId="0" applyFont="1" applyFill="1" applyBorder="1" applyAlignment="1">
      <alignment horizontal="center" wrapText="1"/>
    </xf>
    <xf numFmtId="0" fontId="0" fillId="14" borderId="9" xfId="0" applyFill="1" applyBorder="1" applyAlignment="1">
      <alignment horizontal="center" wrapText="1"/>
    </xf>
    <xf numFmtId="0" fontId="13" fillId="14" borderId="9" xfId="0" applyFont="1" applyFill="1" applyBorder="1" applyAlignment="1">
      <alignment horizontal="center" wrapText="1"/>
    </xf>
    <xf numFmtId="0" fontId="0" fillId="14" borderId="13" xfId="0" applyFill="1" applyBorder="1" applyAlignment="1">
      <alignment horizontal="center" wrapText="1"/>
    </xf>
    <xf numFmtId="0" fontId="21" fillId="11" borderId="9" xfId="0" applyFont="1" applyFill="1" applyBorder="1" applyAlignment="1">
      <alignment horizontal="center" wrapText="1"/>
    </xf>
    <xf numFmtId="0" fontId="9" fillId="11" borderId="9" xfId="0" applyFont="1" applyFill="1" applyBorder="1" applyAlignment="1">
      <alignment horizontal="center" wrapText="1"/>
    </xf>
    <xf numFmtId="0" fontId="21" fillId="14" borderId="9" xfId="0" applyFont="1" applyFill="1" applyBorder="1" applyAlignment="1">
      <alignment horizontal="center" wrapText="1"/>
    </xf>
    <xf numFmtId="0" fontId="21" fillId="15" borderId="9" xfId="0" applyFont="1" applyFill="1" applyBorder="1" applyAlignment="1">
      <alignment horizontal="center" wrapText="1"/>
    </xf>
    <xf numFmtId="0" fontId="22" fillId="11" borderId="12" xfId="0" applyFont="1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wrapText="1"/>
    </xf>
    <xf numFmtId="0" fontId="21" fillId="11" borderId="12" xfId="0" applyFont="1" applyFill="1" applyBorder="1" applyAlignment="1">
      <alignment horizontal="center" wrapText="1"/>
    </xf>
    <xf numFmtId="0" fontId="13" fillId="11" borderId="12" xfId="0" applyFont="1" applyFill="1" applyBorder="1" applyAlignment="1">
      <alignment horizontal="center" wrapText="1"/>
    </xf>
    <xf numFmtId="0" fontId="13" fillId="11" borderId="7" xfId="0" applyFont="1" applyFill="1" applyBorder="1" applyAlignment="1">
      <alignment horizontal="center" wrapText="1"/>
    </xf>
    <xf numFmtId="0" fontId="21" fillId="14" borderId="12" xfId="0" applyFont="1" applyFill="1" applyBorder="1" applyAlignment="1">
      <alignment horizontal="center" wrapText="1"/>
    </xf>
    <xf numFmtId="0" fontId="9" fillId="11" borderId="12" xfId="0" applyFont="1" applyFill="1" applyBorder="1" applyAlignment="1">
      <alignment horizontal="center" wrapText="1"/>
    </xf>
    <xf numFmtId="0" fontId="0" fillId="14" borderId="12" xfId="0" applyFill="1" applyBorder="1" applyAlignment="1">
      <alignment horizont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wrapText="1"/>
    </xf>
    <xf numFmtId="0" fontId="2" fillId="11" borderId="13" xfId="0" applyFont="1" applyFill="1" applyBorder="1" applyAlignment="1">
      <alignment horizontal="center" wrapText="1"/>
    </xf>
    <xf numFmtId="0" fontId="13" fillId="14" borderId="13" xfId="0" applyFont="1" applyFill="1" applyBorder="1" applyAlignment="1">
      <alignment horizontal="center" wrapText="1"/>
    </xf>
    <xf numFmtId="0" fontId="13" fillId="14" borderId="12" xfId="0" applyFont="1" applyFill="1" applyBorder="1" applyAlignment="1">
      <alignment horizontal="center" wrapText="1"/>
    </xf>
    <xf numFmtId="0" fontId="1" fillId="0" borderId="0" xfId="0" applyFont="1"/>
    <xf numFmtId="0" fontId="1" fillId="14" borderId="9" xfId="0" applyFont="1" applyFill="1" applyBorder="1" applyAlignment="1">
      <alignment wrapText="1"/>
    </xf>
    <xf numFmtId="0" fontId="1" fillId="11" borderId="9" xfId="0" applyFont="1" applyFill="1" applyBorder="1" applyAlignment="1">
      <alignment wrapText="1"/>
    </xf>
    <xf numFmtId="0" fontId="1" fillId="15" borderId="9" xfId="0" applyFont="1" applyFill="1" applyBorder="1" applyAlignment="1">
      <alignment wrapText="1"/>
    </xf>
    <xf numFmtId="0" fontId="1" fillId="14" borderId="13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1" borderId="7" xfId="0" applyFont="1" applyFill="1" applyBorder="1" applyAlignment="1">
      <alignment wrapText="1"/>
    </xf>
    <xf numFmtId="0" fontId="18" fillId="11" borderId="9" xfId="0" applyFont="1" applyFill="1" applyBorder="1" applyAlignment="1">
      <alignment vertical="center" wrapText="1"/>
    </xf>
    <xf numFmtId="0" fontId="22" fillId="11" borderId="9" xfId="0" applyFont="1" applyFill="1" applyBorder="1" applyAlignment="1">
      <alignment vertical="center" wrapText="1"/>
    </xf>
    <xf numFmtId="0" fontId="18" fillId="11" borderId="13" xfId="0" applyFont="1" applyFill="1" applyBorder="1" applyAlignment="1">
      <alignment vertical="center" wrapText="1"/>
    </xf>
    <xf numFmtId="0" fontId="22" fillId="11" borderId="13" xfId="0" applyFont="1" applyFill="1" applyBorder="1" applyAlignment="1">
      <alignment vertical="center" wrapText="1"/>
    </xf>
    <xf numFmtId="0" fontId="18" fillId="11" borderId="7" xfId="0" applyFont="1" applyFill="1" applyBorder="1" applyAlignment="1">
      <alignment vertical="center" wrapText="1"/>
    </xf>
    <xf numFmtId="0" fontId="23" fillId="11" borderId="9" xfId="0" applyFont="1" applyFill="1" applyBorder="1" applyAlignment="1">
      <alignment vertical="center" wrapText="1"/>
    </xf>
    <xf numFmtId="0" fontId="22" fillId="0" borderId="9" xfId="0" applyFont="1" applyBorder="1" applyAlignment="1">
      <alignment wrapText="1"/>
    </xf>
    <xf numFmtId="0" fontId="22" fillId="12" borderId="9" xfId="0" applyFont="1" applyFill="1" applyBorder="1" applyAlignment="1">
      <alignment wrapText="1"/>
    </xf>
    <xf numFmtId="0" fontId="18" fillId="2" borderId="9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wrapText="1"/>
    </xf>
    <xf numFmtId="0" fontId="10" fillId="7" borderId="9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2" fillId="9" borderId="2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206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104775</xdr:rowOff>
    </xdr:from>
    <xdr:ext cx="1349375" cy="949325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04775"/>
          <a:ext cx="1349375" cy="94932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0</xdr:row>
      <xdr:rowOff>104775</xdr:rowOff>
    </xdr:from>
    <xdr:ext cx="1127125" cy="104775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C27AA569-56EE-037A-19A5-8E908266A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104775"/>
          <a:ext cx="1127125" cy="1047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104775</xdr:rowOff>
    </xdr:from>
    <xdr:ext cx="1349375" cy="9493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04775"/>
          <a:ext cx="1349375" cy="94932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0</xdr:row>
      <xdr:rowOff>104775</xdr:rowOff>
    </xdr:from>
    <xdr:ext cx="1127125" cy="104775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C27AA569-56EE-037A-19A5-8E908266A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0550" y="104775"/>
          <a:ext cx="1127125" cy="1047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8"/>
  <sheetViews>
    <sheetView showGridLines="0" tabSelected="1" workbookViewId="0">
      <selection sqref="A1:C224"/>
    </sheetView>
  </sheetViews>
  <sheetFormatPr baseColWidth="10" defaultColWidth="14.42578125" defaultRowHeight="15" customHeight="1" x14ac:dyDescent="0.25"/>
  <cols>
    <col min="1" max="1" width="3.85546875" customWidth="1"/>
    <col min="2" max="2" width="49.42578125" customWidth="1"/>
    <col min="3" max="3" width="6" customWidth="1"/>
    <col min="4" max="4" width="6.140625" customWidth="1"/>
    <col min="5" max="6" width="4.85546875" customWidth="1"/>
    <col min="7" max="8" width="6.42578125" customWidth="1"/>
    <col min="9" max="11" width="4.5703125" customWidth="1"/>
    <col min="12" max="13" width="6.5703125" customWidth="1"/>
    <col min="14" max="14" width="5.42578125" customWidth="1"/>
    <col min="15" max="15" width="7" customWidth="1"/>
    <col min="16" max="16" width="14.42578125" customWidth="1"/>
    <col min="17" max="17" width="4.140625" customWidth="1"/>
  </cols>
  <sheetData>
    <row r="1" spans="1:16" ht="31.5" customHeight="1" x14ac:dyDescent="0.25">
      <c r="A1" s="1" t="s">
        <v>0</v>
      </c>
      <c r="B1" s="22" t="s">
        <v>1</v>
      </c>
      <c r="C1" s="23" t="s">
        <v>422</v>
      </c>
      <c r="D1" s="105" t="s">
        <v>58</v>
      </c>
      <c r="E1" s="106"/>
      <c r="F1" s="106"/>
      <c r="G1" s="106"/>
      <c r="H1" s="106"/>
      <c r="I1" s="105" t="s">
        <v>57</v>
      </c>
      <c r="J1" s="106"/>
      <c r="K1" s="106"/>
      <c r="L1" s="106"/>
      <c r="M1" s="106"/>
      <c r="N1" s="24" t="s">
        <v>2</v>
      </c>
      <c r="O1" s="25" t="s">
        <v>3</v>
      </c>
      <c r="P1" s="25" t="s">
        <v>4</v>
      </c>
    </row>
    <row r="2" spans="1:16" ht="15" customHeight="1" x14ac:dyDescent="0.25">
      <c r="A2" s="57">
        <v>1</v>
      </c>
      <c r="B2" s="41" t="s">
        <v>220</v>
      </c>
      <c r="C2" s="8">
        <v>20</v>
      </c>
      <c r="D2" s="34">
        <v>15</v>
      </c>
      <c r="E2" s="10"/>
      <c r="F2" s="10">
        <f>(D2*0.5)+(E2*0.5)</f>
        <v>7.5</v>
      </c>
      <c r="G2" s="7"/>
      <c r="H2" s="12">
        <f>((F2*0.7)+(G2*0.3))*0.4</f>
        <v>2.1</v>
      </c>
      <c r="I2" s="3"/>
      <c r="J2" s="3"/>
      <c r="K2" s="3">
        <f>(I2*0.5)+(J2*0.5)</f>
        <v>0</v>
      </c>
      <c r="L2" s="4"/>
      <c r="M2" s="4">
        <f>((K2*0.7)+(L2*0.3))*0.7</f>
        <v>0</v>
      </c>
      <c r="N2" s="2"/>
      <c r="O2" s="5">
        <f>(H2*0.4)+(M2*0.6)</f>
        <v>0.84000000000000008</v>
      </c>
      <c r="P2" s="6" t="s">
        <v>5</v>
      </c>
    </row>
    <row r="3" spans="1:16" x14ac:dyDescent="0.25">
      <c r="A3" s="57">
        <v>2</v>
      </c>
      <c r="B3" s="45" t="s">
        <v>6</v>
      </c>
      <c r="C3" s="8">
        <v>16</v>
      </c>
      <c r="D3" s="9">
        <v>15</v>
      </c>
      <c r="E3" s="10"/>
      <c r="F3" s="10">
        <f>(D3*0.5)+(E3*0.5)</f>
        <v>7.5</v>
      </c>
      <c r="G3" s="7"/>
      <c r="H3" s="12">
        <f>((F3*0.7)+(G3*0.3))*0.4</f>
        <v>2.1</v>
      </c>
      <c r="I3" s="3"/>
      <c r="J3" s="3"/>
      <c r="K3" s="3">
        <f>(I3*0.5)+(J3*0.5)</f>
        <v>0</v>
      </c>
      <c r="L3" s="4"/>
      <c r="M3" s="4">
        <f>((K3*0.7)+(L3*0.3))*0.7</f>
        <v>0</v>
      </c>
      <c r="N3" s="2"/>
      <c r="O3" s="5">
        <f>(H3*0.4)+(M3*0.6)</f>
        <v>0.84000000000000008</v>
      </c>
      <c r="P3" s="6" t="s">
        <v>5</v>
      </c>
    </row>
    <row r="4" spans="1:16" ht="17.25" customHeight="1" x14ac:dyDescent="0.25">
      <c r="A4" s="57">
        <v>3</v>
      </c>
      <c r="B4" s="41" t="s">
        <v>221</v>
      </c>
      <c r="C4" s="8" t="s">
        <v>56</v>
      </c>
      <c r="D4" s="34">
        <v>15</v>
      </c>
      <c r="E4" s="10"/>
      <c r="F4" s="10">
        <f>(D4*0.5)+(E4*0.5)</f>
        <v>7.5</v>
      </c>
      <c r="G4" s="7"/>
      <c r="H4" s="12">
        <f>((F4*0.7)+(G4*0.3))*0.4</f>
        <v>2.1</v>
      </c>
      <c r="I4" s="3"/>
      <c r="J4" s="3"/>
      <c r="K4" s="3">
        <f>(I4*0.5)+(J4*0.5)</f>
        <v>0</v>
      </c>
      <c r="L4" s="4"/>
      <c r="M4" s="4">
        <f>((K4*0.7)+(L4*0.3))*0.7</f>
        <v>0</v>
      </c>
      <c r="N4" s="2"/>
      <c r="O4" s="5">
        <f>(H4*0.4)+(M4*0.6)</f>
        <v>0.84000000000000008</v>
      </c>
      <c r="P4" s="6" t="s">
        <v>5</v>
      </c>
    </row>
    <row r="5" spans="1:16" x14ac:dyDescent="0.25">
      <c r="A5" s="57">
        <v>4</v>
      </c>
      <c r="B5" s="46" t="s">
        <v>117</v>
      </c>
      <c r="C5" s="38">
        <v>18</v>
      </c>
      <c r="D5" s="27">
        <v>18</v>
      </c>
      <c r="E5" s="10"/>
      <c r="F5" s="10">
        <f>(D5*0.5)+(E5*0.5)</f>
        <v>9</v>
      </c>
      <c r="G5" s="7"/>
      <c r="H5" s="12">
        <f>((F5*0.7)+(G5*0.3))*0.4</f>
        <v>2.52</v>
      </c>
      <c r="I5" s="3"/>
      <c r="J5" s="3"/>
      <c r="K5" s="3">
        <f>(I5*0.5)+(J5*0.5)</f>
        <v>0</v>
      </c>
      <c r="L5" s="4"/>
      <c r="M5" s="4">
        <f>((K5*0.7)+(L5*0.3))*0.7</f>
        <v>0</v>
      </c>
      <c r="N5" s="2"/>
      <c r="O5" s="5">
        <f>(H5*0.4)+(M5*0.6)</f>
        <v>1.008</v>
      </c>
      <c r="P5" s="6" t="s">
        <v>5</v>
      </c>
    </row>
    <row r="6" spans="1:16" ht="15.75" customHeight="1" x14ac:dyDescent="0.25">
      <c r="A6" s="57">
        <v>5</v>
      </c>
      <c r="B6" s="45" t="s">
        <v>7</v>
      </c>
      <c r="C6" s="8">
        <v>10</v>
      </c>
      <c r="D6" s="9">
        <v>13</v>
      </c>
      <c r="E6" s="10"/>
      <c r="F6" s="10">
        <f>(D6*0.5)+(E6*0.5)</f>
        <v>6.5</v>
      </c>
      <c r="G6" s="7"/>
      <c r="H6" s="12">
        <f>((F6*0.7)+(G6*0.3))*0.4</f>
        <v>1.82</v>
      </c>
      <c r="I6" s="3"/>
      <c r="J6" s="3"/>
      <c r="K6" s="3">
        <f>(I6*0.5)+(J6*0.5)</f>
        <v>0</v>
      </c>
      <c r="L6" s="4"/>
      <c r="M6" s="4">
        <f>((K6*0.7)+(L6*0.3))*0.7</f>
        <v>0</v>
      </c>
      <c r="N6" s="2"/>
      <c r="O6" s="5">
        <f>(H6*0.4)+(M6*0.6)</f>
        <v>0.72800000000000009</v>
      </c>
      <c r="P6" s="6" t="s">
        <v>5</v>
      </c>
    </row>
    <row r="7" spans="1:16" x14ac:dyDescent="0.25">
      <c r="A7" s="57">
        <v>6</v>
      </c>
      <c r="B7" s="41" t="s">
        <v>204</v>
      </c>
      <c r="C7" s="8">
        <v>12</v>
      </c>
      <c r="D7" s="9">
        <v>12</v>
      </c>
      <c r="E7" s="10"/>
      <c r="F7" s="10">
        <f>(D7*0.5)+(E7*0.5)</f>
        <v>6</v>
      </c>
      <c r="G7" s="7"/>
      <c r="H7" s="12">
        <f>((F7*0.7)+(G7*0.3))*0.4</f>
        <v>1.6799999999999997</v>
      </c>
      <c r="I7" s="3"/>
      <c r="J7" s="3"/>
      <c r="K7" s="3">
        <f>(I7*0.5)+(J7*0.5)</f>
        <v>0</v>
      </c>
      <c r="L7" s="4"/>
      <c r="M7" s="4">
        <f>((K7*0.7)+(L7*0.3))*0.7</f>
        <v>0</v>
      </c>
      <c r="N7" s="2"/>
      <c r="O7" s="5">
        <f>(H7*0.4)+(M7*0.6)</f>
        <v>0.67199999999999993</v>
      </c>
      <c r="P7" s="6" t="s">
        <v>5</v>
      </c>
    </row>
    <row r="8" spans="1:16" x14ac:dyDescent="0.25">
      <c r="A8" s="57">
        <v>7</v>
      </c>
      <c r="B8" s="45" t="s">
        <v>8</v>
      </c>
      <c r="C8" s="8">
        <v>12</v>
      </c>
      <c r="D8" s="9">
        <v>12</v>
      </c>
      <c r="E8" s="10"/>
      <c r="F8" s="10">
        <f>(D8*0.5)+(E8*0.5)</f>
        <v>6</v>
      </c>
      <c r="G8" s="7"/>
      <c r="H8" s="12">
        <f>((F8*0.7)+(G8*0.3))*0.4</f>
        <v>1.6799999999999997</v>
      </c>
      <c r="I8" s="3"/>
      <c r="J8" s="3"/>
      <c r="K8" s="3">
        <f>(I8*0.5)+(J8*0.5)</f>
        <v>0</v>
      </c>
      <c r="L8" s="4"/>
      <c r="M8" s="4">
        <f>((K8*0.7)+(L8*0.3))*0.7</f>
        <v>0</v>
      </c>
      <c r="N8" s="2"/>
      <c r="O8" s="5">
        <f>(H8*0.4)+(M8*0.6)</f>
        <v>0.67199999999999993</v>
      </c>
      <c r="P8" s="6" t="s">
        <v>5</v>
      </c>
    </row>
    <row r="9" spans="1:16" ht="15.75" customHeight="1" x14ac:dyDescent="0.25">
      <c r="A9" s="57">
        <v>8</v>
      </c>
      <c r="B9" s="45" t="s">
        <v>9</v>
      </c>
      <c r="C9" s="8">
        <v>20</v>
      </c>
      <c r="D9" s="9">
        <v>17</v>
      </c>
      <c r="E9" s="10"/>
      <c r="F9" s="10">
        <f>(D9*0.5)+(E9*0.5)</f>
        <v>8.5</v>
      </c>
      <c r="G9" s="7"/>
      <c r="H9" s="12">
        <f>((F9*0.7)+(G9*0.3))*0.4</f>
        <v>2.38</v>
      </c>
      <c r="I9" s="3"/>
      <c r="J9" s="3"/>
      <c r="K9" s="3">
        <f>(I9*0.5)+(J9*0.5)</f>
        <v>0</v>
      </c>
      <c r="L9" s="4"/>
      <c r="M9" s="4">
        <f>((K9*0.7)+(L9*0.3))*0.7</f>
        <v>0</v>
      </c>
      <c r="N9" s="2"/>
      <c r="O9" s="5">
        <f>(H9*0.4)+(M9*0.6)</f>
        <v>0.95199999999999996</v>
      </c>
      <c r="P9" s="6" t="s">
        <v>5</v>
      </c>
    </row>
    <row r="10" spans="1:16" ht="15.75" customHeight="1" x14ac:dyDescent="0.25">
      <c r="A10" s="57">
        <v>9</v>
      </c>
      <c r="B10" s="41" t="s">
        <v>264</v>
      </c>
      <c r="C10" s="8" t="s">
        <v>56</v>
      </c>
      <c r="D10" s="34">
        <v>12</v>
      </c>
      <c r="E10" s="10"/>
      <c r="F10" s="10">
        <f>(D10*0.5)+(E10*0.5)</f>
        <v>6</v>
      </c>
      <c r="G10" s="7"/>
      <c r="H10" s="12">
        <f>((F10*0.7)+(G10*0.3))*0.4</f>
        <v>1.6799999999999997</v>
      </c>
      <c r="I10" s="3"/>
      <c r="J10" s="3"/>
      <c r="K10" s="3">
        <f>(I10*0.5)+(J10*0.5)</f>
        <v>0</v>
      </c>
      <c r="L10" s="4"/>
      <c r="M10" s="4">
        <f>((K10*0.7)+(L10*0.3))*0.7</f>
        <v>0</v>
      </c>
      <c r="N10" s="2"/>
      <c r="O10" s="5">
        <f>(H10*0.4)+(M10*0.6)</f>
        <v>0.67199999999999993</v>
      </c>
      <c r="P10" s="6" t="s">
        <v>5</v>
      </c>
    </row>
    <row r="11" spans="1:16" ht="15.75" customHeight="1" x14ac:dyDescent="0.25">
      <c r="A11" s="57">
        <v>10</v>
      </c>
      <c r="B11" s="47" t="s">
        <v>118</v>
      </c>
      <c r="C11" s="38">
        <v>20</v>
      </c>
      <c r="D11" s="27">
        <v>18</v>
      </c>
      <c r="E11" s="10"/>
      <c r="F11" s="10">
        <f>(D11*0.5)+(E11*0.5)</f>
        <v>9</v>
      </c>
      <c r="G11" s="7"/>
      <c r="H11" s="12">
        <f>((F11*0.7)+(G11*0.3))*0.4</f>
        <v>2.52</v>
      </c>
      <c r="I11" s="3"/>
      <c r="J11" s="3"/>
      <c r="K11" s="3">
        <f>(I11*0.5)+(J11*0.5)</f>
        <v>0</v>
      </c>
      <c r="L11" s="4"/>
      <c r="M11" s="4">
        <f>((K11*0.7)+(L11*0.3))*0.7</f>
        <v>0</v>
      </c>
      <c r="N11" s="2"/>
      <c r="O11" s="5">
        <f>(H11*0.4)+(M11*0.6)</f>
        <v>1.008</v>
      </c>
      <c r="P11" s="6" t="s">
        <v>5</v>
      </c>
    </row>
    <row r="12" spans="1:16" ht="15.75" customHeight="1" x14ac:dyDescent="0.25">
      <c r="A12" s="57">
        <v>11</v>
      </c>
      <c r="B12" s="45" t="s">
        <v>10</v>
      </c>
      <c r="C12" s="8">
        <v>20</v>
      </c>
      <c r="D12" s="9">
        <v>15</v>
      </c>
      <c r="E12" s="10"/>
      <c r="F12" s="10">
        <f>(D12*0.5)+(E12*0.5)</f>
        <v>7.5</v>
      </c>
      <c r="G12" s="7"/>
      <c r="H12" s="12">
        <f>((F12*0.7)+(G12*0.3))*0.4</f>
        <v>2.1</v>
      </c>
      <c r="I12" s="3"/>
      <c r="J12" s="3"/>
      <c r="K12" s="3">
        <f>(I12*0.5)+(J12*0.5)</f>
        <v>0</v>
      </c>
      <c r="L12" s="4"/>
      <c r="M12" s="4">
        <f>((K12*0.7)+(L12*0.3))*0.7</f>
        <v>0</v>
      </c>
      <c r="N12" s="2"/>
      <c r="O12" s="5">
        <f>(H12*0.4)+(M12*0.6)</f>
        <v>0.84000000000000008</v>
      </c>
      <c r="P12" s="6" t="s">
        <v>5</v>
      </c>
    </row>
    <row r="13" spans="1:16" ht="15.75" customHeight="1" x14ac:dyDescent="0.25">
      <c r="A13" s="57">
        <v>12</v>
      </c>
      <c r="B13" s="45" t="s">
        <v>160</v>
      </c>
      <c r="C13" s="38">
        <v>12</v>
      </c>
      <c r="D13" s="9">
        <v>14</v>
      </c>
      <c r="E13" s="10"/>
      <c r="F13" s="10">
        <f>(D13*0.5)+(E13*0.5)</f>
        <v>7</v>
      </c>
      <c r="G13" s="7"/>
      <c r="H13" s="12">
        <f>((F13*0.7)+(G13*0.3))*0.4</f>
        <v>1.96</v>
      </c>
      <c r="I13" s="3"/>
      <c r="J13" s="3"/>
      <c r="K13" s="3">
        <f>(I13*0.5)+(J13*0.5)</f>
        <v>0</v>
      </c>
      <c r="L13" s="4"/>
      <c r="M13" s="4">
        <f>((K13*0.7)+(L13*0.3))*0.7</f>
        <v>0</v>
      </c>
      <c r="N13" s="2"/>
      <c r="O13" s="5">
        <f>(H13*0.4)+(M13*0.6)</f>
        <v>0.78400000000000003</v>
      </c>
      <c r="P13" s="6" t="s">
        <v>5</v>
      </c>
    </row>
    <row r="14" spans="1:16" ht="15.75" customHeight="1" x14ac:dyDescent="0.25">
      <c r="A14" s="57">
        <v>13</v>
      </c>
      <c r="B14" s="45" t="s">
        <v>161</v>
      </c>
      <c r="C14" s="38">
        <v>20</v>
      </c>
      <c r="D14" s="9">
        <v>17</v>
      </c>
      <c r="E14" s="10"/>
      <c r="F14" s="10">
        <f>(D14*0.5)+(E14*0.5)</f>
        <v>8.5</v>
      </c>
      <c r="G14" s="7"/>
      <c r="H14" s="12">
        <f>((F14*0.7)+(G14*0.3))*0.4</f>
        <v>2.38</v>
      </c>
      <c r="I14" s="3"/>
      <c r="J14" s="3"/>
      <c r="K14" s="3">
        <f>(I14*0.5)+(J14*0.5)</f>
        <v>0</v>
      </c>
      <c r="L14" s="4"/>
      <c r="M14" s="4">
        <f>((K14*0.7)+(L14*0.3))*0.7</f>
        <v>0</v>
      </c>
      <c r="N14" s="2"/>
      <c r="O14" s="5">
        <f>(H14*0.4)+(M14*0.6)</f>
        <v>0.95199999999999996</v>
      </c>
      <c r="P14" s="6" t="s">
        <v>5</v>
      </c>
    </row>
    <row r="15" spans="1:16" ht="15.75" customHeight="1" x14ac:dyDescent="0.25">
      <c r="A15" s="57">
        <v>14</v>
      </c>
      <c r="B15" s="41" t="s">
        <v>222</v>
      </c>
      <c r="C15" s="8" t="s">
        <v>56</v>
      </c>
      <c r="D15" s="34">
        <v>12</v>
      </c>
      <c r="E15" s="10"/>
      <c r="F15" s="10">
        <f>(D15*0.5)+(E15*0.5)</f>
        <v>6</v>
      </c>
      <c r="G15" s="7"/>
      <c r="H15" s="12">
        <f>((F15*0.7)+(G15*0.3))*0.4</f>
        <v>1.6799999999999997</v>
      </c>
      <c r="I15" s="3"/>
      <c r="J15" s="3"/>
      <c r="K15" s="3">
        <f>(I15*0.5)+(J15*0.5)</f>
        <v>0</v>
      </c>
      <c r="L15" s="4"/>
      <c r="M15" s="4">
        <f>((K15*0.7)+(L15*0.3))*0.7</f>
        <v>0</v>
      </c>
      <c r="N15" s="2"/>
      <c r="O15" s="5">
        <f>(H15*0.4)+(M15*0.6)</f>
        <v>0.67199999999999993</v>
      </c>
      <c r="P15" s="6" t="s">
        <v>5</v>
      </c>
    </row>
    <row r="16" spans="1:16" ht="15.75" customHeight="1" x14ac:dyDescent="0.25">
      <c r="A16" s="57">
        <v>15</v>
      </c>
      <c r="B16" s="41" t="s">
        <v>265</v>
      </c>
      <c r="C16" s="8" t="s">
        <v>56</v>
      </c>
      <c r="D16" s="35">
        <v>3</v>
      </c>
      <c r="E16" s="10"/>
      <c r="F16" s="10">
        <f>(D16*0.5)+(E16*0.5)</f>
        <v>1.5</v>
      </c>
      <c r="G16" s="7"/>
      <c r="H16" s="12">
        <f>((F16*0.7)+(G16*0.3))*0.4</f>
        <v>0.41999999999999993</v>
      </c>
      <c r="I16" s="3"/>
      <c r="J16" s="3"/>
      <c r="K16" s="3">
        <f>(I16*0.5)+(J16*0.5)</f>
        <v>0</v>
      </c>
      <c r="L16" s="4"/>
      <c r="M16" s="4">
        <f>((K16*0.7)+(L16*0.3))*0.7</f>
        <v>0</v>
      </c>
      <c r="N16" s="2"/>
      <c r="O16" s="5">
        <f>(H16*0.4)+(M16*0.6)</f>
        <v>0.16799999999999998</v>
      </c>
      <c r="P16" s="6" t="s">
        <v>5</v>
      </c>
    </row>
    <row r="17" spans="1:16" ht="15.75" customHeight="1" x14ac:dyDescent="0.25">
      <c r="A17" s="57">
        <v>16</v>
      </c>
      <c r="B17" s="46" t="s">
        <v>119</v>
      </c>
      <c r="C17" s="38">
        <v>14</v>
      </c>
      <c r="D17" s="27">
        <v>16</v>
      </c>
      <c r="E17" s="10"/>
      <c r="F17" s="10">
        <f>(D17*0.5)+(E17*0.5)</f>
        <v>8</v>
      </c>
      <c r="G17" s="7"/>
      <c r="H17" s="12">
        <f>((F17*0.7)+(G17*0.3))*0.4</f>
        <v>2.2399999999999998</v>
      </c>
      <c r="I17" s="3"/>
      <c r="J17" s="3"/>
      <c r="K17" s="3">
        <f>(I17*0.5)+(J17*0.5)</f>
        <v>0</v>
      </c>
      <c r="L17" s="4"/>
      <c r="M17" s="4">
        <f>((K17*0.7)+(L17*0.3))*0.7</f>
        <v>0</v>
      </c>
      <c r="N17" s="2"/>
      <c r="O17" s="5">
        <f>(H17*0.4)+(M17*0.6)</f>
        <v>0.89599999999999991</v>
      </c>
      <c r="P17" s="6" t="s">
        <v>5</v>
      </c>
    </row>
    <row r="18" spans="1:16" ht="15.75" customHeight="1" x14ac:dyDescent="0.25">
      <c r="A18" s="57">
        <v>17</v>
      </c>
      <c r="B18" s="45" t="s">
        <v>162</v>
      </c>
      <c r="C18" s="8" t="s">
        <v>56</v>
      </c>
      <c r="D18" s="9">
        <v>15</v>
      </c>
      <c r="E18" s="10"/>
      <c r="F18" s="10">
        <f>(D18*0.5)+(E18*0.5)</f>
        <v>7.5</v>
      </c>
      <c r="G18" s="7"/>
      <c r="H18" s="12">
        <f>((F18*0.7)+(G18*0.3))*0.4</f>
        <v>2.1</v>
      </c>
      <c r="I18" s="3"/>
      <c r="J18" s="3"/>
      <c r="K18" s="3">
        <f>(I18*0.5)+(J18*0.5)</f>
        <v>0</v>
      </c>
      <c r="L18" s="4"/>
      <c r="M18" s="4">
        <f>((K18*0.7)+(L18*0.3))*0.7</f>
        <v>0</v>
      </c>
      <c r="N18" s="2"/>
      <c r="O18" s="5">
        <f>(H18*0.4)+(M18*0.6)</f>
        <v>0.84000000000000008</v>
      </c>
      <c r="P18" s="6" t="s">
        <v>5</v>
      </c>
    </row>
    <row r="19" spans="1:16" ht="15.75" customHeight="1" x14ac:dyDescent="0.25">
      <c r="A19" s="57">
        <v>18</v>
      </c>
      <c r="B19" s="45" t="s">
        <v>11</v>
      </c>
      <c r="C19" s="8">
        <v>10</v>
      </c>
      <c r="D19" s="9">
        <v>12</v>
      </c>
      <c r="E19" s="10"/>
      <c r="F19" s="10">
        <f>(D19*0.5)+(E19*0.5)</f>
        <v>6</v>
      </c>
      <c r="G19" s="7"/>
      <c r="H19" s="12">
        <f>((F19*0.7)+(G19*0.3))*0.4</f>
        <v>1.6799999999999997</v>
      </c>
      <c r="I19" s="3"/>
      <c r="J19" s="3"/>
      <c r="K19" s="3">
        <f>(I19*0.5)+(J19*0.5)</f>
        <v>0</v>
      </c>
      <c r="L19" s="4"/>
      <c r="M19" s="4">
        <f>((K19*0.7)+(L19*0.3))*0.7</f>
        <v>0</v>
      </c>
      <c r="N19" s="2"/>
      <c r="O19" s="5">
        <f>(H19*0.4)+(M19*0.6)</f>
        <v>0.67199999999999993</v>
      </c>
      <c r="P19" s="6" t="s">
        <v>5</v>
      </c>
    </row>
    <row r="20" spans="1:16" ht="15.75" customHeight="1" x14ac:dyDescent="0.25">
      <c r="A20" s="57">
        <v>19</v>
      </c>
      <c r="B20" s="45" t="s">
        <v>163</v>
      </c>
      <c r="C20" s="38">
        <v>16</v>
      </c>
      <c r="D20" s="9">
        <v>15</v>
      </c>
      <c r="E20" s="10"/>
      <c r="F20" s="10">
        <f>(D20*0.5)+(E20*0.5)</f>
        <v>7.5</v>
      </c>
      <c r="G20" s="7"/>
      <c r="H20" s="12">
        <f>((F20*0.7)+(G20*0.3))*0.4</f>
        <v>2.1</v>
      </c>
      <c r="I20" s="3"/>
      <c r="J20" s="3"/>
      <c r="K20" s="3">
        <f>(I20*0.5)+(J20*0.5)</f>
        <v>0</v>
      </c>
      <c r="L20" s="4"/>
      <c r="M20" s="4">
        <f>((K20*0.7)+(L20*0.3))*0.7</f>
        <v>0</v>
      </c>
      <c r="N20" s="2"/>
      <c r="O20" s="5">
        <f>(H20*0.4)+(M20*0.6)</f>
        <v>0.84000000000000008</v>
      </c>
      <c r="P20" s="6" t="s">
        <v>5</v>
      </c>
    </row>
    <row r="21" spans="1:16" ht="12.75" customHeight="1" x14ac:dyDescent="0.25">
      <c r="A21" s="57">
        <v>20</v>
      </c>
      <c r="B21" s="41" t="s">
        <v>205</v>
      </c>
      <c r="C21" s="8">
        <v>10</v>
      </c>
      <c r="D21" s="9">
        <v>13</v>
      </c>
      <c r="E21" s="10"/>
      <c r="F21" s="10">
        <f>(D21*0.5)+(E21*0.5)</f>
        <v>6.5</v>
      </c>
      <c r="G21" s="7"/>
      <c r="H21" s="12">
        <f>((F21*0.7)+(G21*0.3))*0.4</f>
        <v>1.82</v>
      </c>
      <c r="I21" s="3"/>
      <c r="J21" s="3"/>
      <c r="K21" s="3">
        <f>(I21*0.5)+(J21*0.5)</f>
        <v>0</v>
      </c>
      <c r="L21" s="4"/>
      <c r="M21" s="4">
        <f>((K21*0.7)+(L21*0.3))*0.7</f>
        <v>0</v>
      </c>
      <c r="N21" s="2"/>
      <c r="O21" s="5">
        <f>(H21*0.4)+(M21*0.6)</f>
        <v>0.72800000000000009</v>
      </c>
      <c r="P21" s="6" t="s">
        <v>5</v>
      </c>
    </row>
    <row r="22" spans="1:16" ht="15.75" customHeight="1" x14ac:dyDescent="0.25">
      <c r="A22" s="57">
        <v>21</v>
      </c>
      <c r="B22" s="41" t="s">
        <v>223</v>
      </c>
      <c r="C22" s="8" t="s">
        <v>56</v>
      </c>
      <c r="D22" s="34">
        <v>17</v>
      </c>
      <c r="E22" s="10"/>
      <c r="F22" s="10">
        <f>(D22*0.5)+(E22*0.5)</f>
        <v>8.5</v>
      </c>
      <c r="G22" s="7"/>
      <c r="H22" s="12">
        <f>((F22*0.7)+(G22*0.3))*0.4</f>
        <v>2.38</v>
      </c>
      <c r="I22" s="3"/>
      <c r="J22" s="3"/>
      <c r="K22" s="3">
        <f>(I22*0.5)+(J22*0.5)</f>
        <v>0</v>
      </c>
      <c r="L22" s="4"/>
      <c r="M22" s="4">
        <f>((K22*0.7)+(L22*0.3))*0.7</f>
        <v>0</v>
      </c>
      <c r="N22" s="2"/>
      <c r="O22" s="5">
        <f>(H22*0.4)+(M22*0.6)</f>
        <v>0.95199999999999996</v>
      </c>
      <c r="P22" s="6" t="s">
        <v>5</v>
      </c>
    </row>
    <row r="23" spans="1:16" ht="15.75" customHeight="1" x14ac:dyDescent="0.25">
      <c r="A23" s="57">
        <v>22</v>
      </c>
      <c r="B23" s="41" t="s">
        <v>266</v>
      </c>
      <c r="C23" s="8" t="s">
        <v>56</v>
      </c>
      <c r="D23" s="35">
        <v>7</v>
      </c>
      <c r="E23" s="10"/>
      <c r="F23" s="10">
        <f>(D23*0.5)+(E23*0.5)</f>
        <v>3.5</v>
      </c>
      <c r="G23" s="7"/>
      <c r="H23" s="12">
        <f>((F23*0.7)+(G23*0.3))*0.4</f>
        <v>0.98</v>
      </c>
      <c r="I23" s="3"/>
      <c r="J23" s="3"/>
      <c r="K23" s="3">
        <f>(I23*0.5)+(J23*0.5)</f>
        <v>0</v>
      </c>
      <c r="L23" s="4"/>
      <c r="M23" s="4">
        <f>((K23*0.7)+(L23*0.3))*0.7</f>
        <v>0</v>
      </c>
      <c r="N23" s="2"/>
      <c r="O23" s="5">
        <f>(H23*0.4)+(M23*0.6)</f>
        <v>0.39200000000000002</v>
      </c>
      <c r="P23" s="6" t="s">
        <v>5</v>
      </c>
    </row>
    <row r="24" spans="1:16" ht="15.75" customHeight="1" x14ac:dyDescent="0.25">
      <c r="A24" s="57">
        <v>23</v>
      </c>
      <c r="B24" s="45" t="s">
        <v>12</v>
      </c>
      <c r="C24" s="8">
        <v>16</v>
      </c>
      <c r="D24" s="9">
        <v>14</v>
      </c>
      <c r="E24" s="10"/>
      <c r="F24" s="10">
        <f>(D24*0.5)+(E24*0.5)</f>
        <v>7</v>
      </c>
      <c r="G24" s="7"/>
      <c r="H24" s="12">
        <f>((F24*0.7)+(G24*0.3))*0.4</f>
        <v>1.96</v>
      </c>
      <c r="I24" s="3"/>
      <c r="J24" s="3"/>
      <c r="K24" s="3">
        <f>(I24*0.5)+(J24*0.5)</f>
        <v>0</v>
      </c>
      <c r="L24" s="4"/>
      <c r="M24" s="4">
        <f>((K24*0.7)+(L24*0.3))*0.7</f>
        <v>0</v>
      </c>
      <c r="N24" s="2"/>
      <c r="O24" s="5">
        <f>(H24*0.4)+(M24*0.6)</f>
        <v>0.78400000000000003</v>
      </c>
      <c r="P24" s="6" t="s">
        <v>5</v>
      </c>
    </row>
    <row r="25" spans="1:16" ht="15.75" customHeight="1" x14ac:dyDescent="0.25">
      <c r="A25" s="57">
        <v>24</v>
      </c>
      <c r="B25" s="45" t="s">
        <v>164</v>
      </c>
      <c r="C25" s="38">
        <v>10</v>
      </c>
      <c r="D25" s="9">
        <v>15</v>
      </c>
      <c r="E25" s="10"/>
      <c r="F25" s="10">
        <f>(D25*0.5)+(E25*0.5)</f>
        <v>7.5</v>
      </c>
      <c r="G25" s="7"/>
      <c r="H25" s="12">
        <f>((F25*0.7)+(G25*0.3))*0.4</f>
        <v>2.1</v>
      </c>
      <c r="I25" s="3"/>
      <c r="J25" s="3"/>
      <c r="K25" s="3">
        <f>(I25*0.5)+(J25*0.5)</f>
        <v>0</v>
      </c>
      <c r="L25" s="4"/>
      <c r="M25" s="4">
        <f>((K25*0.7)+(L25*0.3))*0.7</f>
        <v>0</v>
      </c>
      <c r="N25" s="2"/>
      <c r="O25" s="5">
        <f>(H25*0.4)+(M25*0.6)</f>
        <v>0.84000000000000008</v>
      </c>
      <c r="P25" s="6" t="s">
        <v>5</v>
      </c>
    </row>
    <row r="26" spans="1:16" ht="15.75" customHeight="1" x14ac:dyDescent="0.25">
      <c r="A26" s="57">
        <v>25</v>
      </c>
      <c r="B26" s="45" t="s">
        <v>13</v>
      </c>
      <c r="C26" s="8">
        <v>12</v>
      </c>
      <c r="D26" s="9">
        <v>17</v>
      </c>
      <c r="E26" s="10"/>
      <c r="F26" s="10">
        <f>(D26*0.5)+(E26*0.5)</f>
        <v>8.5</v>
      </c>
      <c r="G26" s="7"/>
      <c r="H26" s="12">
        <f>((F26*0.7)+(G26*0.3))*0.4</f>
        <v>2.38</v>
      </c>
      <c r="I26" s="3"/>
      <c r="J26" s="3"/>
      <c r="K26" s="3">
        <f>(I26*0.5)+(J26*0.5)</f>
        <v>0</v>
      </c>
      <c r="L26" s="4"/>
      <c r="M26" s="4">
        <f>((K26*0.7)+(L26*0.3))*0.7</f>
        <v>0</v>
      </c>
      <c r="N26" s="2"/>
      <c r="O26" s="5">
        <f>(H26*0.4)+(M26*0.6)</f>
        <v>0.95199999999999996</v>
      </c>
      <c r="P26" s="6" t="s">
        <v>5</v>
      </c>
    </row>
    <row r="27" spans="1:16" ht="12.75" customHeight="1" x14ac:dyDescent="0.25">
      <c r="A27" s="57">
        <v>26</v>
      </c>
      <c r="B27" s="41" t="s">
        <v>206</v>
      </c>
      <c r="C27" s="8">
        <v>16</v>
      </c>
      <c r="D27" s="32">
        <v>4</v>
      </c>
      <c r="E27" s="10"/>
      <c r="F27" s="10">
        <f>(D27*0.5)+(E27*0.5)</f>
        <v>2</v>
      </c>
      <c r="G27" s="7"/>
      <c r="H27" s="12">
        <f>((F27*0.7)+(G27*0.3))*0.4</f>
        <v>0.55999999999999994</v>
      </c>
      <c r="I27" s="3"/>
      <c r="J27" s="3"/>
      <c r="K27" s="3">
        <f>(I27*0.5)+(J27*0.5)</f>
        <v>0</v>
      </c>
      <c r="L27" s="4"/>
      <c r="M27" s="4">
        <f>((K27*0.7)+(L27*0.3))*0.7</f>
        <v>0</v>
      </c>
      <c r="N27" s="2"/>
      <c r="O27" s="5">
        <f>(H27*0.4)+(M27*0.6)</f>
        <v>0.22399999999999998</v>
      </c>
      <c r="P27" s="6" t="s">
        <v>5</v>
      </c>
    </row>
    <row r="28" spans="1:16" ht="17.25" customHeight="1" x14ac:dyDescent="0.25">
      <c r="A28" s="57">
        <v>27</v>
      </c>
      <c r="B28" s="41" t="s">
        <v>267</v>
      </c>
      <c r="C28" s="8" t="s">
        <v>56</v>
      </c>
      <c r="D28" s="35">
        <v>5</v>
      </c>
      <c r="E28" s="10"/>
      <c r="F28" s="10">
        <f>(D28*0.5)+(E28*0.5)</f>
        <v>2.5</v>
      </c>
      <c r="G28" s="7"/>
      <c r="H28" s="12">
        <f>((F28*0.7)+(G28*0.3))*0.4</f>
        <v>0.70000000000000007</v>
      </c>
      <c r="I28" s="3"/>
      <c r="J28" s="3"/>
      <c r="K28" s="3">
        <f>(I28*0.5)+(J28*0.5)</f>
        <v>0</v>
      </c>
      <c r="L28" s="4"/>
      <c r="M28" s="4">
        <f>((K28*0.7)+(L28*0.3))*0.7</f>
        <v>0</v>
      </c>
      <c r="N28" s="2"/>
      <c r="O28" s="5">
        <f>(H28*0.4)+(M28*0.6)</f>
        <v>0.28000000000000003</v>
      </c>
      <c r="P28" s="6" t="s">
        <v>5</v>
      </c>
    </row>
    <row r="29" spans="1:16" ht="15" customHeight="1" x14ac:dyDescent="0.25">
      <c r="A29" s="57">
        <v>28</v>
      </c>
      <c r="B29" s="41" t="s">
        <v>224</v>
      </c>
      <c r="C29" s="8" t="s">
        <v>56</v>
      </c>
      <c r="D29" s="34">
        <v>14</v>
      </c>
      <c r="E29" s="10"/>
      <c r="F29" s="10">
        <f>(D29*0.5)+(E29*0.5)</f>
        <v>7</v>
      </c>
      <c r="G29" s="7"/>
      <c r="H29" s="12">
        <f>((F29*0.7)+(G29*0.3))*0.4</f>
        <v>1.96</v>
      </c>
      <c r="I29" s="3"/>
      <c r="J29" s="3"/>
      <c r="K29" s="3">
        <f>(I29*0.5)+(J29*0.5)</f>
        <v>0</v>
      </c>
      <c r="L29" s="4"/>
      <c r="M29" s="4">
        <f>((K29*0.7)+(L29*0.3))*0.7</f>
        <v>0</v>
      </c>
      <c r="N29" s="2"/>
      <c r="O29" s="5">
        <f>(H29*0.4)+(M29*0.6)</f>
        <v>0.78400000000000003</v>
      </c>
      <c r="P29" s="6" t="s">
        <v>5</v>
      </c>
    </row>
    <row r="30" spans="1:16" ht="15" customHeight="1" x14ac:dyDescent="0.25">
      <c r="A30" s="57">
        <v>29</v>
      </c>
      <c r="B30" s="46" t="s">
        <v>120</v>
      </c>
      <c r="C30" s="38" t="s">
        <v>56</v>
      </c>
      <c r="D30" s="27">
        <v>15</v>
      </c>
      <c r="E30" s="10"/>
      <c r="F30" s="10">
        <f>(D30*0.5)+(E30*0.5)</f>
        <v>7.5</v>
      </c>
      <c r="G30" s="7"/>
      <c r="H30" s="12">
        <f>((F30*0.7)+(G30*0.3))*0.4</f>
        <v>2.1</v>
      </c>
      <c r="I30" s="3"/>
      <c r="J30" s="3"/>
      <c r="K30" s="3">
        <f>(I30*0.5)+(J30*0.5)</f>
        <v>0</v>
      </c>
      <c r="L30" s="4"/>
      <c r="M30" s="4">
        <f>((K30*0.7)+(L30*0.3))*0.7</f>
        <v>0</v>
      </c>
      <c r="N30" s="2"/>
      <c r="O30" s="5">
        <f>(H30*0.4)+(M30*0.6)</f>
        <v>0.84000000000000008</v>
      </c>
      <c r="P30" s="6" t="s">
        <v>5</v>
      </c>
    </row>
    <row r="31" spans="1:16" ht="15" customHeight="1" x14ac:dyDescent="0.25">
      <c r="A31" s="57">
        <v>30</v>
      </c>
      <c r="B31" s="41" t="s">
        <v>225</v>
      </c>
      <c r="C31" s="8" t="s">
        <v>56</v>
      </c>
      <c r="D31" s="34">
        <v>10</v>
      </c>
      <c r="E31" s="10"/>
      <c r="F31" s="10">
        <f>(D31*0.5)+(E31*0.5)</f>
        <v>5</v>
      </c>
      <c r="G31" s="7"/>
      <c r="H31" s="12">
        <f>((F31*0.7)+(G31*0.3))*0.4</f>
        <v>1.4000000000000001</v>
      </c>
      <c r="I31" s="3"/>
      <c r="J31" s="3"/>
      <c r="K31" s="3">
        <f>(I31*0.5)+(J31*0.5)</f>
        <v>0</v>
      </c>
      <c r="L31" s="4"/>
      <c r="M31" s="4">
        <f>((K31*0.7)+(L31*0.3))*0.7</f>
        <v>0</v>
      </c>
      <c r="N31" s="2"/>
      <c r="O31" s="5">
        <f>(H31*0.4)+(M31*0.6)</f>
        <v>0.56000000000000005</v>
      </c>
      <c r="P31" s="6" t="s">
        <v>5</v>
      </c>
    </row>
    <row r="32" spans="1:16" ht="15" customHeight="1" x14ac:dyDescent="0.25">
      <c r="A32" s="57">
        <v>31</v>
      </c>
      <c r="B32" s="41" t="s">
        <v>207</v>
      </c>
      <c r="C32" s="8" t="s">
        <v>56</v>
      </c>
      <c r="D32" s="32">
        <v>3</v>
      </c>
      <c r="E32" s="10"/>
      <c r="F32" s="10">
        <f>(D32*0.5)+(E32*0.5)</f>
        <v>1.5</v>
      </c>
      <c r="G32" s="7"/>
      <c r="H32" s="12">
        <f>((F32*0.7)+(G32*0.3))*0.4</f>
        <v>0.41999999999999993</v>
      </c>
      <c r="I32" s="3"/>
      <c r="J32" s="3"/>
      <c r="K32" s="3">
        <f>(I32*0.5)+(J32*0.5)</f>
        <v>0</v>
      </c>
      <c r="L32" s="4"/>
      <c r="M32" s="4">
        <f>((K32*0.7)+(L32*0.3))*0.7</f>
        <v>0</v>
      </c>
      <c r="N32" s="2"/>
      <c r="O32" s="5">
        <f>(H32*0.4)+(M32*0.6)</f>
        <v>0.16799999999999998</v>
      </c>
      <c r="P32" s="6" t="s">
        <v>5</v>
      </c>
    </row>
    <row r="33" spans="1:16" ht="15" customHeight="1" x14ac:dyDescent="0.25">
      <c r="A33" s="57">
        <v>32</v>
      </c>
      <c r="B33" s="41" t="s">
        <v>268</v>
      </c>
      <c r="C33" s="8" t="s">
        <v>56</v>
      </c>
      <c r="D33" s="34">
        <v>14</v>
      </c>
      <c r="E33" s="10"/>
      <c r="F33" s="10">
        <f>(D33*0.5)+(E33*0.5)</f>
        <v>7</v>
      </c>
      <c r="G33" s="7"/>
      <c r="H33" s="12">
        <f>((F33*0.7)+(G33*0.3))*0.4</f>
        <v>1.96</v>
      </c>
      <c r="I33" s="3"/>
      <c r="J33" s="3"/>
      <c r="K33" s="3">
        <f>(I33*0.5)+(J33*0.5)</f>
        <v>0</v>
      </c>
      <c r="L33" s="4"/>
      <c r="M33" s="4">
        <f>((K33*0.7)+(L33*0.3))*0.7</f>
        <v>0</v>
      </c>
      <c r="N33" s="2"/>
      <c r="O33" s="5">
        <f>(H33*0.4)+(M33*0.6)</f>
        <v>0.78400000000000003</v>
      </c>
      <c r="P33" s="6" t="s">
        <v>5</v>
      </c>
    </row>
    <row r="34" spans="1:16" ht="15" customHeight="1" x14ac:dyDescent="0.25">
      <c r="A34" s="57">
        <v>33</v>
      </c>
      <c r="B34" s="45" t="s">
        <v>165</v>
      </c>
      <c r="C34" s="38">
        <v>20</v>
      </c>
      <c r="D34" s="9">
        <v>17</v>
      </c>
      <c r="E34" s="10"/>
      <c r="F34" s="10">
        <f>(D34*0.5)+(E34*0.5)</f>
        <v>8.5</v>
      </c>
      <c r="G34" s="7"/>
      <c r="H34" s="12">
        <f>((F34*0.7)+(G34*0.3))*0.4</f>
        <v>2.38</v>
      </c>
      <c r="I34" s="3"/>
      <c r="J34" s="3"/>
      <c r="K34" s="3">
        <f>(I34*0.5)+(J34*0.5)</f>
        <v>0</v>
      </c>
      <c r="L34" s="4"/>
      <c r="M34" s="4">
        <f>((K34*0.7)+(L34*0.3))*0.7</f>
        <v>0</v>
      </c>
      <c r="N34" s="2"/>
      <c r="O34" s="5">
        <f>(H34*0.4)+(M34*0.6)</f>
        <v>0.95199999999999996</v>
      </c>
      <c r="P34" s="6" t="s">
        <v>5</v>
      </c>
    </row>
    <row r="35" spans="1:16" ht="15" customHeight="1" x14ac:dyDescent="0.25">
      <c r="A35" s="57">
        <v>34</v>
      </c>
      <c r="B35" s="46" t="s">
        <v>121</v>
      </c>
      <c r="C35" s="38">
        <v>18</v>
      </c>
      <c r="D35" s="27">
        <v>17</v>
      </c>
      <c r="E35" s="10"/>
      <c r="F35" s="10">
        <f>(D35*0.5)+(E35*0.5)</f>
        <v>8.5</v>
      </c>
      <c r="G35" s="7"/>
      <c r="H35" s="12">
        <f>((F35*0.7)+(G35*0.3))*0.4</f>
        <v>2.38</v>
      </c>
      <c r="I35" s="3"/>
      <c r="J35" s="3"/>
      <c r="K35" s="3">
        <f>(I35*0.5)+(J35*0.5)</f>
        <v>0</v>
      </c>
      <c r="L35" s="4"/>
      <c r="M35" s="4">
        <f>((K35*0.7)+(L35*0.3))*0.7</f>
        <v>0</v>
      </c>
      <c r="N35" s="2"/>
      <c r="O35" s="5">
        <f>(H35*0.4)+(M35*0.6)</f>
        <v>0.95199999999999996</v>
      </c>
      <c r="P35" s="6" t="s">
        <v>5</v>
      </c>
    </row>
    <row r="36" spans="1:16" ht="15" customHeight="1" x14ac:dyDescent="0.25">
      <c r="A36" s="57">
        <v>35</v>
      </c>
      <c r="B36" s="46" t="s">
        <v>122</v>
      </c>
      <c r="C36" s="38">
        <v>14</v>
      </c>
      <c r="D36" s="27">
        <v>17</v>
      </c>
      <c r="E36" s="10"/>
      <c r="F36" s="10">
        <f>(D36*0.5)+(E36*0.5)</f>
        <v>8.5</v>
      </c>
      <c r="G36" s="7"/>
      <c r="H36" s="12">
        <f>((F36*0.7)+(G36*0.3))*0.4</f>
        <v>2.38</v>
      </c>
      <c r="I36" s="3"/>
      <c r="J36" s="3"/>
      <c r="K36" s="3">
        <f>(I36*0.5)+(J36*0.5)</f>
        <v>0</v>
      </c>
      <c r="L36" s="4"/>
      <c r="M36" s="4">
        <f>((K36*0.7)+(L36*0.3))*0.7</f>
        <v>0</v>
      </c>
      <c r="N36" s="2"/>
      <c r="O36" s="5">
        <f>(H36*0.4)+(M36*0.6)</f>
        <v>0.95199999999999996</v>
      </c>
      <c r="P36" s="6" t="s">
        <v>5</v>
      </c>
    </row>
    <row r="37" spans="1:16" ht="15" customHeight="1" x14ac:dyDescent="0.25">
      <c r="A37" s="57">
        <v>36</v>
      </c>
      <c r="B37" s="41" t="s">
        <v>226</v>
      </c>
      <c r="C37" s="8">
        <v>16</v>
      </c>
      <c r="D37" s="34">
        <v>15</v>
      </c>
      <c r="E37" s="10"/>
      <c r="F37" s="10">
        <f>(D37*0.5)+(E37*0.5)</f>
        <v>7.5</v>
      </c>
      <c r="G37" s="7"/>
      <c r="H37" s="12">
        <f>((F37*0.7)+(G37*0.3))*0.4</f>
        <v>2.1</v>
      </c>
      <c r="I37" s="3"/>
      <c r="J37" s="3"/>
      <c r="K37" s="3">
        <f>(I37*0.5)+(J37*0.5)</f>
        <v>0</v>
      </c>
      <c r="L37" s="4"/>
      <c r="M37" s="4">
        <f>((K37*0.7)+(L37*0.3))*0.7</f>
        <v>0</v>
      </c>
      <c r="N37" s="2"/>
      <c r="O37" s="5">
        <f>(H37*0.4)+(M37*0.6)</f>
        <v>0.84000000000000008</v>
      </c>
      <c r="P37" s="6" t="s">
        <v>5</v>
      </c>
    </row>
    <row r="38" spans="1:16" ht="15" customHeight="1" x14ac:dyDescent="0.25">
      <c r="A38" s="57">
        <v>37</v>
      </c>
      <c r="B38" s="45" t="s">
        <v>166</v>
      </c>
      <c r="C38" s="8" t="s">
        <v>56</v>
      </c>
      <c r="D38" s="9">
        <v>14</v>
      </c>
      <c r="E38" s="10"/>
      <c r="F38" s="10">
        <f>(D38*0.5)+(E38*0.5)</f>
        <v>7</v>
      </c>
      <c r="G38" s="7"/>
      <c r="H38" s="12">
        <f>((F38*0.7)+(G38*0.3))*0.4</f>
        <v>1.96</v>
      </c>
      <c r="I38" s="3"/>
      <c r="J38" s="3"/>
      <c r="K38" s="3">
        <f>(I38*0.5)+(J38*0.5)</f>
        <v>0</v>
      </c>
      <c r="L38" s="4"/>
      <c r="M38" s="4">
        <f>((K38*0.7)+(L38*0.3))*0.7</f>
        <v>0</v>
      </c>
      <c r="N38" s="2"/>
      <c r="O38" s="5">
        <f>(H38*0.4)+(M38*0.6)</f>
        <v>0.78400000000000003</v>
      </c>
      <c r="P38" s="6" t="s">
        <v>5</v>
      </c>
    </row>
    <row r="39" spans="1:16" ht="15" customHeight="1" x14ac:dyDescent="0.25">
      <c r="A39" s="57">
        <v>38</v>
      </c>
      <c r="B39" s="46" t="s">
        <v>123</v>
      </c>
      <c r="C39" s="38" t="s">
        <v>56</v>
      </c>
      <c r="D39" s="27">
        <v>14</v>
      </c>
      <c r="E39" s="10"/>
      <c r="F39" s="10">
        <f>(D39*0.5)+(E39*0.5)</f>
        <v>7</v>
      </c>
      <c r="G39" s="7"/>
      <c r="H39" s="12">
        <f>((F39*0.7)+(G39*0.3))*0.4</f>
        <v>1.96</v>
      </c>
      <c r="I39" s="3"/>
      <c r="J39" s="3"/>
      <c r="K39" s="3">
        <f>(I39*0.5)+(J39*0.5)</f>
        <v>0</v>
      </c>
      <c r="L39" s="4"/>
      <c r="M39" s="4">
        <f>((K39*0.7)+(L39*0.3))*0.7</f>
        <v>0</v>
      </c>
      <c r="N39" s="2"/>
      <c r="O39" s="5">
        <f>(H39*0.4)+(M39*0.6)</f>
        <v>0.78400000000000003</v>
      </c>
      <c r="P39" s="6" t="s">
        <v>5</v>
      </c>
    </row>
    <row r="40" spans="1:16" ht="15" customHeight="1" x14ac:dyDescent="0.25">
      <c r="A40" s="57">
        <v>39</v>
      </c>
      <c r="B40" s="47" t="s">
        <v>124</v>
      </c>
      <c r="C40" s="38" t="s">
        <v>56</v>
      </c>
      <c r="D40" s="27">
        <v>18</v>
      </c>
      <c r="E40" s="10"/>
      <c r="F40" s="10">
        <f>(D40*0.5)+(E40*0.5)</f>
        <v>9</v>
      </c>
      <c r="G40" s="7"/>
      <c r="H40" s="12">
        <f>((F40*0.7)+(G40*0.3))*0.4</f>
        <v>2.52</v>
      </c>
      <c r="I40" s="3"/>
      <c r="J40" s="3"/>
      <c r="K40" s="3">
        <f>(I40*0.5)+(J40*0.5)</f>
        <v>0</v>
      </c>
      <c r="L40" s="4"/>
      <c r="M40" s="4">
        <f>((K40*0.7)+(L40*0.3))*0.7</f>
        <v>0</v>
      </c>
      <c r="N40" s="2"/>
      <c r="O40" s="5">
        <f>(H40*0.4)+(M40*0.6)</f>
        <v>1.008</v>
      </c>
      <c r="P40" s="6" t="s">
        <v>5</v>
      </c>
    </row>
    <row r="41" spans="1:16" ht="15" customHeight="1" x14ac:dyDescent="0.25">
      <c r="A41" s="57">
        <v>40</v>
      </c>
      <c r="B41" s="45" t="s">
        <v>167</v>
      </c>
      <c r="C41" s="8" t="s">
        <v>56</v>
      </c>
      <c r="D41" s="9">
        <v>14</v>
      </c>
      <c r="E41" s="10"/>
      <c r="F41" s="10">
        <f>(D41*0.5)+(E41*0.5)</f>
        <v>7</v>
      </c>
      <c r="G41" s="7"/>
      <c r="H41" s="12">
        <f>((F41*0.7)+(G41*0.3))*0.4</f>
        <v>1.96</v>
      </c>
      <c r="I41" s="3"/>
      <c r="J41" s="3"/>
      <c r="K41" s="3">
        <f>(I41*0.5)+(J41*0.5)</f>
        <v>0</v>
      </c>
      <c r="L41" s="4"/>
      <c r="M41" s="4">
        <f>((K41*0.7)+(L41*0.3))*0.7</f>
        <v>0</v>
      </c>
      <c r="N41" s="2"/>
      <c r="O41" s="5">
        <f>(H41*0.4)+(M41*0.6)</f>
        <v>0.78400000000000003</v>
      </c>
      <c r="P41" s="6" t="s">
        <v>5</v>
      </c>
    </row>
    <row r="42" spans="1:16" ht="15" customHeight="1" x14ac:dyDescent="0.25">
      <c r="A42" s="57">
        <v>41</v>
      </c>
      <c r="B42" s="47" t="s">
        <v>125</v>
      </c>
      <c r="C42" s="38">
        <v>18</v>
      </c>
      <c r="D42" s="27">
        <v>17</v>
      </c>
      <c r="E42" s="10"/>
      <c r="F42" s="10">
        <f>(D42*0.5)+(E42*0.5)</f>
        <v>8.5</v>
      </c>
      <c r="G42" s="7"/>
      <c r="H42" s="12">
        <f>((F42*0.7)+(G42*0.3))*0.4</f>
        <v>2.38</v>
      </c>
      <c r="I42" s="3"/>
      <c r="J42" s="3"/>
      <c r="K42" s="3">
        <f>(I42*0.5)+(J42*0.5)</f>
        <v>0</v>
      </c>
      <c r="L42" s="4"/>
      <c r="M42" s="4">
        <f>((K42*0.7)+(L42*0.3))*0.7</f>
        <v>0</v>
      </c>
      <c r="N42" s="2"/>
      <c r="O42" s="5">
        <f>(H42*0.4)+(M42*0.6)</f>
        <v>0.95199999999999996</v>
      </c>
      <c r="P42" s="6" t="s">
        <v>5</v>
      </c>
    </row>
    <row r="43" spans="1:16" ht="15" customHeight="1" x14ac:dyDescent="0.25">
      <c r="A43" s="57">
        <v>42</v>
      </c>
      <c r="B43" s="45" t="s">
        <v>14</v>
      </c>
      <c r="C43" s="8">
        <v>14</v>
      </c>
      <c r="D43" s="9">
        <v>16</v>
      </c>
      <c r="E43" s="10"/>
      <c r="F43" s="10">
        <f>(D43*0.5)+(E43*0.5)</f>
        <v>8</v>
      </c>
      <c r="G43" s="7"/>
      <c r="H43" s="12">
        <f>((F43*0.7)+(G43*0.3))*0.4</f>
        <v>2.2399999999999998</v>
      </c>
      <c r="I43" s="3"/>
      <c r="J43" s="3"/>
      <c r="K43" s="3">
        <f>(I43*0.5)+(J43*0.5)</f>
        <v>0</v>
      </c>
      <c r="L43" s="4"/>
      <c r="M43" s="4">
        <f>((K43*0.7)+(L43*0.3))*0.7</f>
        <v>0</v>
      </c>
      <c r="N43" s="2"/>
      <c r="O43" s="5">
        <f>(H43*0.4)+(M43*0.6)</f>
        <v>0.89599999999999991</v>
      </c>
      <c r="P43" s="6" t="s">
        <v>5</v>
      </c>
    </row>
    <row r="44" spans="1:16" ht="15" customHeight="1" x14ac:dyDescent="0.25">
      <c r="A44" s="57">
        <v>43</v>
      </c>
      <c r="B44" s="41" t="s">
        <v>208</v>
      </c>
      <c r="C44" s="8" t="s">
        <v>56</v>
      </c>
      <c r="D44" s="9">
        <v>15</v>
      </c>
      <c r="E44" s="10"/>
      <c r="F44" s="10">
        <f>(D44*0.5)+(E44*0.5)</f>
        <v>7.5</v>
      </c>
      <c r="G44" s="7"/>
      <c r="H44" s="12">
        <f>((F44*0.7)+(G44*0.3))*0.4</f>
        <v>2.1</v>
      </c>
      <c r="I44" s="3"/>
      <c r="J44" s="3"/>
      <c r="K44" s="3">
        <f>(I44*0.5)+(J44*0.5)</f>
        <v>0</v>
      </c>
      <c r="L44" s="4"/>
      <c r="M44" s="4">
        <f>((K44*0.7)+(L44*0.3))*0.7</f>
        <v>0</v>
      </c>
      <c r="N44" s="2"/>
      <c r="O44" s="5">
        <f>(H44*0.4)+(M44*0.6)</f>
        <v>0.84000000000000008</v>
      </c>
      <c r="P44" s="6" t="s">
        <v>5</v>
      </c>
    </row>
    <row r="45" spans="1:16" ht="15" customHeight="1" x14ac:dyDescent="0.25">
      <c r="A45" s="57">
        <v>44</v>
      </c>
      <c r="B45" s="45" t="s">
        <v>168</v>
      </c>
      <c r="C45" s="38">
        <v>12</v>
      </c>
      <c r="D45" s="9">
        <v>14</v>
      </c>
      <c r="E45" s="10"/>
      <c r="F45" s="10">
        <f>(D45*0.5)+(E45*0.5)</f>
        <v>7</v>
      </c>
      <c r="G45" s="7"/>
      <c r="H45" s="12">
        <f>((F45*0.7)+(G45*0.3))*0.4</f>
        <v>1.96</v>
      </c>
      <c r="I45" s="3"/>
      <c r="J45" s="3"/>
      <c r="K45" s="3">
        <f>(I45*0.5)+(J45*0.5)</f>
        <v>0</v>
      </c>
      <c r="L45" s="4"/>
      <c r="M45" s="4">
        <f>((K45*0.7)+(L45*0.3))*0.7</f>
        <v>0</v>
      </c>
      <c r="N45" s="2"/>
      <c r="O45" s="5">
        <f>(H45*0.4)+(M45*0.6)</f>
        <v>0.78400000000000003</v>
      </c>
      <c r="P45" s="6" t="s">
        <v>5</v>
      </c>
    </row>
    <row r="46" spans="1:16" ht="15" customHeight="1" x14ac:dyDescent="0.25">
      <c r="A46" s="57">
        <v>45</v>
      </c>
      <c r="B46" s="45" t="s">
        <v>15</v>
      </c>
      <c r="C46" s="8">
        <v>14</v>
      </c>
      <c r="D46" s="9">
        <v>16</v>
      </c>
      <c r="E46" s="10"/>
      <c r="F46" s="10">
        <f>(D46*0.5)+(E46*0.5)</f>
        <v>8</v>
      </c>
      <c r="G46" s="7"/>
      <c r="H46" s="12">
        <f>((F46*0.7)+(G46*0.3))*0.4</f>
        <v>2.2399999999999998</v>
      </c>
      <c r="I46" s="3"/>
      <c r="J46" s="3"/>
      <c r="K46" s="3">
        <f>(I46*0.5)+(J46*0.5)</f>
        <v>0</v>
      </c>
      <c r="L46" s="4"/>
      <c r="M46" s="4">
        <f>((K46*0.7)+(L46*0.3))*0.7</f>
        <v>0</v>
      </c>
      <c r="N46" s="2"/>
      <c r="O46" s="5">
        <f>(H46*0.4)+(M46*0.6)</f>
        <v>0.89599999999999991</v>
      </c>
      <c r="P46" s="6" t="s">
        <v>5</v>
      </c>
    </row>
    <row r="47" spans="1:16" ht="15" customHeight="1" x14ac:dyDescent="0.25">
      <c r="A47" s="57">
        <v>46</v>
      </c>
      <c r="B47" s="41" t="s">
        <v>227</v>
      </c>
      <c r="C47" s="8" t="s">
        <v>56</v>
      </c>
      <c r="D47" s="35">
        <v>9</v>
      </c>
      <c r="E47" s="10"/>
      <c r="F47" s="10">
        <f>(D47*0.5)+(E47*0.5)</f>
        <v>4.5</v>
      </c>
      <c r="G47" s="7"/>
      <c r="H47" s="12">
        <f>((F47*0.7)+(G47*0.3))*0.4</f>
        <v>1.26</v>
      </c>
      <c r="I47" s="3"/>
      <c r="J47" s="3"/>
      <c r="K47" s="3">
        <f>(I47*0.5)+(J47*0.5)</f>
        <v>0</v>
      </c>
      <c r="L47" s="4"/>
      <c r="M47" s="4">
        <f>((K47*0.7)+(L47*0.3))*0.7</f>
        <v>0</v>
      </c>
      <c r="N47" s="2"/>
      <c r="O47" s="5">
        <f>(H47*0.4)+(M47*0.6)</f>
        <v>0.504</v>
      </c>
      <c r="P47" s="6" t="s">
        <v>5</v>
      </c>
    </row>
    <row r="48" spans="1:16" ht="15" customHeight="1" x14ac:dyDescent="0.25">
      <c r="A48" s="57">
        <v>47</v>
      </c>
      <c r="B48" s="41" t="s">
        <v>228</v>
      </c>
      <c r="C48" s="8" t="s">
        <v>56</v>
      </c>
      <c r="D48" s="34">
        <v>14</v>
      </c>
      <c r="E48" s="10"/>
      <c r="F48" s="10">
        <f>(D48*0.5)+(E48*0.5)</f>
        <v>7</v>
      </c>
      <c r="G48" s="7"/>
      <c r="H48" s="12">
        <f>((F48*0.7)+(G48*0.3))*0.4</f>
        <v>1.96</v>
      </c>
      <c r="I48" s="3"/>
      <c r="J48" s="3"/>
      <c r="K48" s="3">
        <f>(I48*0.5)+(J48*0.5)</f>
        <v>0</v>
      </c>
      <c r="L48" s="4"/>
      <c r="M48" s="4">
        <f>((K48*0.7)+(L48*0.3))*0.7</f>
        <v>0</v>
      </c>
      <c r="N48" s="2"/>
      <c r="O48" s="5">
        <f>(H48*0.4)+(M48*0.6)</f>
        <v>0.78400000000000003</v>
      </c>
      <c r="P48" s="6" t="s">
        <v>5</v>
      </c>
    </row>
    <row r="49" spans="1:16" ht="15" customHeight="1" x14ac:dyDescent="0.25">
      <c r="A49" s="57">
        <v>48</v>
      </c>
      <c r="B49" s="45" t="s">
        <v>16</v>
      </c>
      <c r="C49" s="8">
        <v>12</v>
      </c>
      <c r="D49" s="9">
        <v>14</v>
      </c>
      <c r="E49" s="10"/>
      <c r="F49" s="10">
        <f>(D49*0.5)+(E49*0.5)</f>
        <v>7</v>
      </c>
      <c r="G49" s="7"/>
      <c r="H49" s="12">
        <f>((F49*0.7)+(G49*0.3))*0.4</f>
        <v>1.96</v>
      </c>
      <c r="I49" s="3"/>
      <c r="J49" s="3"/>
      <c r="K49" s="3">
        <f>(I49*0.5)+(J49*0.5)</f>
        <v>0</v>
      </c>
      <c r="L49" s="4"/>
      <c r="M49" s="4">
        <f>((K49*0.7)+(L49*0.3))*0.7</f>
        <v>0</v>
      </c>
      <c r="N49" s="2"/>
      <c r="O49" s="5">
        <f>(H49*0.4)+(M49*0.6)</f>
        <v>0.78400000000000003</v>
      </c>
      <c r="P49" s="6" t="s">
        <v>5</v>
      </c>
    </row>
    <row r="50" spans="1:16" ht="15" customHeight="1" x14ac:dyDescent="0.25">
      <c r="A50" s="57">
        <v>49</v>
      </c>
      <c r="B50" s="41" t="s">
        <v>269</v>
      </c>
      <c r="C50" s="40">
        <v>10</v>
      </c>
      <c r="D50" s="34">
        <v>16</v>
      </c>
      <c r="E50" s="10"/>
      <c r="F50" s="10">
        <f>(D50*0.5)+(E50*0.5)</f>
        <v>8</v>
      </c>
      <c r="G50" s="7"/>
      <c r="H50" s="12">
        <f>((F50*0.7)+(G50*0.3))*0.4</f>
        <v>2.2399999999999998</v>
      </c>
      <c r="I50" s="3"/>
      <c r="J50" s="3"/>
      <c r="K50" s="3">
        <f>(I50*0.5)+(J50*0.5)</f>
        <v>0</v>
      </c>
      <c r="L50" s="4"/>
      <c r="M50" s="4">
        <f>((K50*0.7)+(L50*0.3))*0.7</f>
        <v>0</v>
      </c>
      <c r="N50" s="2"/>
      <c r="O50" s="5">
        <f>(H50*0.4)+(M50*0.6)</f>
        <v>0.89599999999999991</v>
      </c>
      <c r="P50" s="6" t="s">
        <v>5</v>
      </c>
    </row>
    <row r="51" spans="1:16" ht="15" customHeight="1" x14ac:dyDescent="0.25">
      <c r="A51" s="57">
        <v>50</v>
      </c>
      <c r="B51" s="41" t="s">
        <v>229</v>
      </c>
      <c r="C51" s="8" t="s">
        <v>56</v>
      </c>
      <c r="D51" s="34">
        <v>15</v>
      </c>
      <c r="E51" s="10"/>
      <c r="F51" s="10">
        <f>(D51*0.5)+(E51*0.5)</f>
        <v>7.5</v>
      </c>
      <c r="G51" s="7"/>
      <c r="H51" s="12">
        <f>((F51*0.7)+(G51*0.3))*0.4</f>
        <v>2.1</v>
      </c>
      <c r="I51" s="3"/>
      <c r="J51" s="3"/>
      <c r="K51" s="3">
        <f>(I51*0.5)+(J51*0.5)</f>
        <v>0</v>
      </c>
      <c r="L51" s="4"/>
      <c r="M51" s="4">
        <f>((K51*0.7)+(L51*0.3))*0.7</f>
        <v>0</v>
      </c>
      <c r="N51" s="2"/>
      <c r="O51" s="5">
        <f>(H51*0.4)+(M51*0.6)</f>
        <v>0.84000000000000008</v>
      </c>
      <c r="P51" s="6" t="s">
        <v>5</v>
      </c>
    </row>
    <row r="52" spans="1:16" ht="15.75" customHeight="1" x14ac:dyDescent="0.25">
      <c r="A52" s="57">
        <v>51</v>
      </c>
      <c r="B52" s="48" t="s">
        <v>17</v>
      </c>
      <c r="C52" s="31">
        <v>12</v>
      </c>
      <c r="D52" s="9">
        <v>14</v>
      </c>
      <c r="E52" s="28"/>
      <c r="F52" s="10">
        <f>(D52*0.5)+(E52*0.5)</f>
        <v>7</v>
      </c>
      <c r="G52" s="7"/>
      <c r="H52" s="12">
        <f>((F52*0.7)+(G52*0.3))*0.4</f>
        <v>1.96</v>
      </c>
      <c r="I52" s="3"/>
      <c r="J52" s="3"/>
      <c r="K52" s="3">
        <f>(I52*0.5)+(J52*0.5)</f>
        <v>0</v>
      </c>
      <c r="L52" s="4"/>
      <c r="M52" s="4">
        <f>((K52*0.7)+(L52*0.3))*0.7</f>
        <v>0</v>
      </c>
      <c r="N52" s="2"/>
      <c r="O52" s="5">
        <f>(H52*0.4)+(M52*0.6)</f>
        <v>0.78400000000000003</v>
      </c>
      <c r="P52" s="6" t="s">
        <v>5</v>
      </c>
    </row>
    <row r="53" spans="1:16" ht="15" customHeight="1" x14ac:dyDescent="0.25">
      <c r="A53" s="57">
        <v>52</v>
      </c>
      <c r="B53" s="49" t="s">
        <v>18</v>
      </c>
      <c r="C53" s="31">
        <v>16</v>
      </c>
      <c r="D53" s="9">
        <v>12</v>
      </c>
      <c r="E53" s="28"/>
      <c r="F53" s="10">
        <f>(D53*0.5)+(E53*0.5)</f>
        <v>6</v>
      </c>
      <c r="G53" s="7"/>
      <c r="H53" s="12">
        <f>((F53*0.7)+(G53*0.3))*0.4</f>
        <v>1.6799999999999997</v>
      </c>
      <c r="I53" s="3"/>
      <c r="J53" s="3"/>
      <c r="K53" s="3">
        <f>(I53*0.5)+(J53*0.5)</f>
        <v>0</v>
      </c>
      <c r="L53" s="4"/>
      <c r="M53" s="4">
        <f>((K53*0.7)+(L53*0.3))*0.7</f>
        <v>0</v>
      </c>
      <c r="N53" s="2"/>
      <c r="O53" s="5">
        <f>(H53*0.4)+(M53*0.6)</f>
        <v>0.67199999999999993</v>
      </c>
      <c r="P53" s="6" t="s">
        <v>5</v>
      </c>
    </row>
    <row r="54" spans="1:16" ht="15" customHeight="1" x14ac:dyDescent="0.25">
      <c r="A54" s="57">
        <v>53</v>
      </c>
      <c r="B54" s="49" t="s">
        <v>169</v>
      </c>
      <c r="C54" s="26">
        <v>16</v>
      </c>
      <c r="D54" s="9">
        <v>13</v>
      </c>
      <c r="E54" s="28"/>
      <c r="F54" s="10">
        <f>(D54*0.5)+(E54*0.5)</f>
        <v>6.5</v>
      </c>
      <c r="G54" s="7"/>
      <c r="H54" s="12">
        <f>((F54*0.7)+(G54*0.3))*0.4</f>
        <v>1.82</v>
      </c>
      <c r="I54" s="3"/>
      <c r="J54" s="3"/>
      <c r="K54" s="3">
        <f>(I54*0.5)+(J54*0.5)</f>
        <v>0</v>
      </c>
      <c r="L54" s="4"/>
      <c r="M54" s="4">
        <f>((K54*0.7)+(L54*0.3))*0.7</f>
        <v>0</v>
      </c>
      <c r="N54" s="2"/>
      <c r="O54" s="5">
        <f>(H54*0.4)+(M54*0.6)</f>
        <v>0.72800000000000009</v>
      </c>
      <c r="P54" s="6" t="s">
        <v>5</v>
      </c>
    </row>
    <row r="55" spans="1:16" ht="15" customHeight="1" x14ac:dyDescent="0.25">
      <c r="A55" s="57">
        <v>54</v>
      </c>
      <c r="B55" s="49" t="s">
        <v>170</v>
      </c>
      <c r="C55" s="31" t="s">
        <v>56</v>
      </c>
      <c r="D55" s="11">
        <v>1</v>
      </c>
      <c r="E55" s="28"/>
      <c r="F55" s="10">
        <f>(D55*0.5)+(E55*0.5)</f>
        <v>0.5</v>
      </c>
      <c r="G55" s="7"/>
      <c r="H55" s="12">
        <f>((F55*0.7)+(G55*0.3))*0.4</f>
        <v>0.13999999999999999</v>
      </c>
      <c r="I55" s="3"/>
      <c r="J55" s="3"/>
      <c r="K55" s="3">
        <f>(I55*0.5)+(J55*0.5)</f>
        <v>0</v>
      </c>
      <c r="L55" s="4"/>
      <c r="M55" s="4">
        <f>((K55*0.7)+(L55*0.3))*0.7</f>
        <v>0</v>
      </c>
      <c r="N55" s="2"/>
      <c r="O55" s="5">
        <f>(H55*0.4)+(M55*0.6)</f>
        <v>5.5999999999999994E-2</v>
      </c>
      <c r="P55" s="6" t="s">
        <v>5</v>
      </c>
    </row>
    <row r="56" spans="1:16" ht="15.75" customHeight="1" x14ac:dyDescent="0.25">
      <c r="A56" s="57">
        <v>55</v>
      </c>
      <c r="B56" s="49" t="s">
        <v>171</v>
      </c>
      <c r="C56" s="26">
        <v>14</v>
      </c>
      <c r="D56" s="9">
        <v>15</v>
      </c>
      <c r="E56" s="28"/>
      <c r="F56" s="10">
        <f>(D56*0.5)+(E56*0.5)</f>
        <v>7.5</v>
      </c>
      <c r="G56" s="7"/>
      <c r="H56" s="12">
        <f>((F56*0.7)+(G56*0.3))*0.4</f>
        <v>2.1</v>
      </c>
      <c r="I56" s="3"/>
      <c r="J56" s="3"/>
      <c r="K56" s="3">
        <f>(I56*0.5)+(J56*0.5)</f>
        <v>0</v>
      </c>
      <c r="L56" s="4"/>
      <c r="M56" s="4">
        <f>((K56*0.7)+(L56*0.3))*0.7</f>
        <v>0</v>
      </c>
      <c r="N56" s="2"/>
      <c r="O56" s="5">
        <f>(H56*0.4)+(M56*0.6)</f>
        <v>0.84000000000000008</v>
      </c>
      <c r="P56" s="6" t="s">
        <v>5</v>
      </c>
    </row>
    <row r="57" spans="1:16" ht="15.75" customHeight="1" x14ac:dyDescent="0.25">
      <c r="A57" s="57">
        <v>56</v>
      </c>
      <c r="B57" s="42" t="s">
        <v>230</v>
      </c>
      <c r="C57" s="31" t="s">
        <v>56</v>
      </c>
      <c r="D57" s="34">
        <v>13</v>
      </c>
      <c r="E57" s="28"/>
      <c r="F57" s="10">
        <f>(D57*0.5)+(E57*0.5)</f>
        <v>6.5</v>
      </c>
      <c r="G57" s="7"/>
      <c r="H57" s="12">
        <f>((F57*0.7)+(G57*0.3))*0.4</f>
        <v>1.82</v>
      </c>
      <c r="I57" s="3"/>
      <c r="J57" s="3"/>
      <c r="K57" s="3">
        <f>(I57*0.5)+(J57*0.5)</f>
        <v>0</v>
      </c>
      <c r="L57" s="4"/>
      <c r="M57" s="4">
        <f>((K57*0.7)+(L57*0.3))*0.7</f>
        <v>0</v>
      </c>
      <c r="N57" s="2"/>
      <c r="O57" s="5">
        <f>(H57*0.4)+(M57*0.6)</f>
        <v>0.72800000000000009</v>
      </c>
      <c r="P57" s="6" t="s">
        <v>5</v>
      </c>
    </row>
    <row r="58" spans="1:16" ht="15.75" customHeight="1" x14ac:dyDescent="0.25">
      <c r="A58" s="57">
        <v>57</v>
      </c>
      <c r="B58" s="42" t="s">
        <v>231</v>
      </c>
      <c r="C58" s="31" t="s">
        <v>56</v>
      </c>
      <c r="D58" s="34">
        <v>14</v>
      </c>
      <c r="E58" s="28"/>
      <c r="F58" s="10">
        <f>(D58*0.5)+(E58*0.5)</f>
        <v>7</v>
      </c>
      <c r="G58" s="7"/>
      <c r="H58" s="12">
        <f>((F58*0.7)+(G58*0.3))*0.4</f>
        <v>1.96</v>
      </c>
      <c r="I58" s="3"/>
      <c r="J58" s="3"/>
      <c r="K58" s="3">
        <f>(I58*0.5)+(J58*0.5)</f>
        <v>0</v>
      </c>
      <c r="L58" s="4"/>
      <c r="M58" s="4">
        <f>((K58*0.7)+(L58*0.3))*0.7</f>
        <v>0</v>
      </c>
      <c r="N58" s="2"/>
      <c r="O58" s="5">
        <f>(H58*0.4)+(M58*0.6)</f>
        <v>0.78400000000000003</v>
      </c>
      <c r="P58" s="6" t="s">
        <v>5</v>
      </c>
    </row>
    <row r="59" spans="1:16" ht="15.75" customHeight="1" x14ac:dyDescent="0.25">
      <c r="A59" s="57">
        <v>58</v>
      </c>
      <c r="B59" s="50" t="s">
        <v>126</v>
      </c>
      <c r="C59" s="26" t="s">
        <v>56</v>
      </c>
      <c r="D59" s="27">
        <v>16</v>
      </c>
      <c r="E59" s="28"/>
      <c r="F59" s="10">
        <f>(D59*0.5)+(E59*0.5)</f>
        <v>8</v>
      </c>
      <c r="G59" s="7"/>
      <c r="H59" s="12">
        <f>((F59*0.7)+(G59*0.3))*0.4</f>
        <v>2.2399999999999998</v>
      </c>
      <c r="I59" s="3"/>
      <c r="J59" s="3"/>
      <c r="K59" s="3">
        <f>(I59*0.5)+(J59*0.5)</f>
        <v>0</v>
      </c>
      <c r="L59" s="4"/>
      <c r="M59" s="4">
        <f>((K59*0.7)+(L59*0.3))*0.7</f>
        <v>0</v>
      </c>
      <c r="N59" s="2"/>
      <c r="O59" s="5">
        <f>(H59*0.4)+(M59*0.6)</f>
        <v>0.89599999999999991</v>
      </c>
      <c r="P59" s="6" t="s">
        <v>5</v>
      </c>
    </row>
    <row r="60" spans="1:16" ht="15.75" customHeight="1" x14ac:dyDescent="0.25">
      <c r="A60" s="57">
        <v>59</v>
      </c>
      <c r="B60" s="50" t="s">
        <v>127</v>
      </c>
      <c r="C60" s="26" t="s">
        <v>56</v>
      </c>
      <c r="D60" s="27">
        <v>13</v>
      </c>
      <c r="E60" s="28"/>
      <c r="F60" s="10">
        <f>(D60*0.5)+(E60*0.5)</f>
        <v>6.5</v>
      </c>
      <c r="G60" s="7"/>
      <c r="H60" s="12">
        <f>((F60*0.7)+(G60*0.3))*0.4</f>
        <v>1.82</v>
      </c>
      <c r="I60" s="3"/>
      <c r="J60" s="3"/>
      <c r="K60" s="3">
        <f>(I60*0.5)+(J60*0.5)</f>
        <v>0</v>
      </c>
      <c r="L60" s="4"/>
      <c r="M60" s="4">
        <f>((K60*0.7)+(L60*0.3))*0.7</f>
        <v>0</v>
      </c>
      <c r="N60" s="2"/>
      <c r="O60" s="5">
        <f>(H60*0.4)+(M60*0.6)</f>
        <v>0.72800000000000009</v>
      </c>
      <c r="P60" s="6" t="s">
        <v>5</v>
      </c>
    </row>
    <row r="61" spans="1:16" ht="15.75" customHeight="1" x14ac:dyDescent="0.25">
      <c r="A61" s="57">
        <v>60</v>
      </c>
      <c r="B61" s="42" t="s">
        <v>270</v>
      </c>
      <c r="C61" s="31" t="s">
        <v>56</v>
      </c>
      <c r="D61" s="34">
        <v>15</v>
      </c>
      <c r="E61" s="28"/>
      <c r="F61" s="10">
        <f>(D61*0.5)+(E61*0.5)</f>
        <v>7.5</v>
      </c>
      <c r="G61" s="7"/>
      <c r="H61" s="12">
        <f>((F61*0.7)+(G61*0.3))*0.4</f>
        <v>2.1</v>
      </c>
      <c r="I61" s="3"/>
      <c r="J61" s="3"/>
      <c r="K61" s="3">
        <f>(I61*0.5)+(J61*0.5)</f>
        <v>0</v>
      </c>
      <c r="L61" s="4"/>
      <c r="M61" s="4">
        <f>((K61*0.7)+(L61*0.3))*0.7</f>
        <v>0</v>
      </c>
      <c r="N61" s="2"/>
      <c r="O61" s="5">
        <f>(H61*0.4)+(M61*0.6)</f>
        <v>0.84000000000000008</v>
      </c>
      <c r="P61" s="6" t="s">
        <v>5</v>
      </c>
    </row>
    <row r="62" spans="1:16" ht="15.75" customHeight="1" x14ac:dyDescent="0.25">
      <c r="A62" s="57">
        <v>61</v>
      </c>
      <c r="B62" s="49" t="s">
        <v>19</v>
      </c>
      <c r="C62" s="31">
        <v>20</v>
      </c>
      <c r="D62" s="9">
        <v>18</v>
      </c>
      <c r="E62" s="28"/>
      <c r="F62" s="10">
        <f>(D62*0.5)+(E62*0.5)</f>
        <v>9</v>
      </c>
      <c r="G62" s="7"/>
      <c r="H62" s="12">
        <f>((F62*0.7)+(G62*0.3))*0.4</f>
        <v>2.52</v>
      </c>
      <c r="I62" s="3"/>
      <c r="J62" s="3"/>
      <c r="K62" s="3">
        <f>(I62*0.5)+(J62*0.5)</f>
        <v>0</v>
      </c>
      <c r="L62" s="4"/>
      <c r="M62" s="4">
        <f>((K62*0.7)+(L62*0.3))*0.7</f>
        <v>0</v>
      </c>
      <c r="N62" s="2"/>
      <c r="O62" s="5">
        <f>(H62*0.4)+(M62*0.6)</f>
        <v>1.008</v>
      </c>
      <c r="P62" s="6" t="s">
        <v>5</v>
      </c>
    </row>
    <row r="63" spans="1:16" ht="15.75" customHeight="1" x14ac:dyDescent="0.25">
      <c r="A63" s="57">
        <v>62</v>
      </c>
      <c r="B63" s="42" t="s">
        <v>271</v>
      </c>
      <c r="C63" s="31" t="s">
        <v>56</v>
      </c>
      <c r="D63" s="34">
        <v>13</v>
      </c>
      <c r="E63" s="28"/>
      <c r="F63" s="10">
        <f>(D63*0.5)+(E63*0.5)</f>
        <v>6.5</v>
      </c>
      <c r="G63" s="7"/>
      <c r="H63" s="12">
        <f>((F63*0.7)+(G63*0.3))*0.4</f>
        <v>1.82</v>
      </c>
      <c r="I63" s="3"/>
      <c r="J63" s="3"/>
      <c r="K63" s="3">
        <f>(I63*0.5)+(J63*0.5)</f>
        <v>0</v>
      </c>
      <c r="L63" s="4"/>
      <c r="M63" s="4">
        <f>((K63*0.7)+(L63*0.3))*0.7</f>
        <v>0</v>
      </c>
      <c r="N63" s="2"/>
      <c r="O63" s="5">
        <f>(H63*0.4)+(M63*0.6)</f>
        <v>0.72800000000000009</v>
      </c>
      <c r="P63" s="6" t="s">
        <v>5</v>
      </c>
    </row>
    <row r="64" spans="1:16" ht="15.75" customHeight="1" x14ac:dyDescent="0.25">
      <c r="A64" s="57">
        <v>63</v>
      </c>
      <c r="B64" s="49" t="s">
        <v>20</v>
      </c>
      <c r="C64" s="31">
        <v>8</v>
      </c>
      <c r="D64" s="9">
        <v>14</v>
      </c>
      <c r="E64" s="28"/>
      <c r="F64" s="10">
        <f>(D64*0.5)+(E64*0.5)</f>
        <v>7</v>
      </c>
      <c r="G64" s="7"/>
      <c r="H64" s="12">
        <f>((F64*0.7)+(G64*0.3))*0.4</f>
        <v>1.96</v>
      </c>
      <c r="I64" s="3"/>
      <c r="J64" s="3"/>
      <c r="K64" s="3">
        <f>(I64*0.5)+(J64*0.5)</f>
        <v>0</v>
      </c>
      <c r="L64" s="4"/>
      <c r="M64" s="4">
        <f>((K64*0.7)+(L64*0.3))*0.7</f>
        <v>0</v>
      </c>
      <c r="N64" s="2"/>
      <c r="O64" s="5">
        <f>(H64*0.4)+(M64*0.6)</f>
        <v>0.78400000000000003</v>
      </c>
      <c r="P64" s="6" t="s">
        <v>5</v>
      </c>
    </row>
    <row r="65" spans="1:16" ht="15.75" customHeight="1" x14ac:dyDescent="0.25">
      <c r="A65" s="57">
        <v>64</v>
      </c>
      <c r="B65" s="42" t="s">
        <v>209</v>
      </c>
      <c r="C65" s="31">
        <v>14</v>
      </c>
      <c r="D65" s="9">
        <v>15</v>
      </c>
      <c r="E65" s="28"/>
      <c r="F65" s="10">
        <f>(D65*0.5)+(E65*0.5)</f>
        <v>7.5</v>
      </c>
      <c r="G65" s="7"/>
      <c r="H65" s="12">
        <f>((F65*0.7)+(G65*0.3))*0.4</f>
        <v>2.1</v>
      </c>
      <c r="I65" s="3"/>
      <c r="J65" s="3"/>
      <c r="K65" s="3">
        <f>(I65*0.5)+(J65*0.5)</f>
        <v>0</v>
      </c>
      <c r="L65" s="4"/>
      <c r="M65" s="4">
        <f>((K65*0.7)+(L65*0.3))*0.7</f>
        <v>0</v>
      </c>
      <c r="N65" s="2"/>
      <c r="O65" s="5">
        <f>(H65*0.4)+(M65*0.6)</f>
        <v>0.84000000000000008</v>
      </c>
      <c r="P65" s="6" t="s">
        <v>5</v>
      </c>
    </row>
    <row r="66" spans="1:16" ht="15.75" customHeight="1" x14ac:dyDescent="0.25">
      <c r="A66" s="57">
        <v>65</v>
      </c>
      <c r="B66" s="49" t="s">
        <v>21</v>
      </c>
      <c r="C66" s="31">
        <v>16</v>
      </c>
      <c r="D66" s="9">
        <v>13</v>
      </c>
      <c r="E66" s="28"/>
      <c r="F66" s="10">
        <f>(D66*0.5)+(E66*0.5)</f>
        <v>6.5</v>
      </c>
      <c r="G66" s="7"/>
      <c r="H66" s="12">
        <f>((F66*0.7)+(G66*0.3))*0.4</f>
        <v>1.82</v>
      </c>
      <c r="I66" s="3"/>
      <c r="J66" s="3"/>
      <c r="K66" s="3">
        <f>(I66*0.5)+(J66*0.5)</f>
        <v>0</v>
      </c>
      <c r="L66" s="4"/>
      <c r="M66" s="4">
        <f>((K66*0.7)+(L66*0.3))*0.7</f>
        <v>0</v>
      </c>
      <c r="N66" s="2"/>
      <c r="O66" s="5">
        <f>(H66*0.4)+(M66*0.6)</f>
        <v>0.72800000000000009</v>
      </c>
      <c r="P66" s="6" t="s">
        <v>5</v>
      </c>
    </row>
    <row r="67" spans="1:16" ht="15.75" customHeight="1" x14ac:dyDescent="0.25">
      <c r="A67" s="57">
        <v>66</v>
      </c>
      <c r="B67" s="50" t="s">
        <v>128</v>
      </c>
      <c r="C67" s="26">
        <v>18</v>
      </c>
      <c r="D67" s="27">
        <v>18</v>
      </c>
      <c r="E67" s="28"/>
      <c r="F67" s="10">
        <f>(D67*0.5)+(E67*0.5)</f>
        <v>9</v>
      </c>
      <c r="G67" s="7"/>
      <c r="H67" s="12">
        <f>((F67*0.7)+(G67*0.3))*0.4</f>
        <v>2.52</v>
      </c>
      <c r="I67" s="3"/>
      <c r="J67" s="3"/>
      <c r="K67" s="3">
        <f>(I67*0.5)+(J67*0.5)</f>
        <v>0</v>
      </c>
      <c r="L67" s="4"/>
      <c r="M67" s="4">
        <f>((K67*0.7)+(L67*0.3))*0.7</f>
        <v>0</v>
      </c>
      <c r="N67" s="2"/>
      <c r="O67" s="5">
        <f>(H67*0.4)+(M67*0.6)</f>
        <v>1.008</v>
      </c>
      <c r="P67" s="6" t="s">
        <v>5</v>
      </c>
    </row>
    <row r="68" spans="1:16" ht="15.75" customHeight="1" x14ac:dyDescent="0.25">
      <c r="A68" s="57">
        <v>67</v>
      </c>
      <c r="B68" s="42" t="s">
        <v>272</v>
      </c>
      <c r="C68" s="31" t="s">
        <v>56</v>
      </c>
      <c r="D68" s="34">
        <v>11</v>
      </c>
      <c r="E68" s="28"/>
      <c r="F68" s="10">
        <f>(D68*0.5)+(E68*0.5)</f>
        <v>5.5</v>
      </c>
      <c r="G68" s="7"/>
      <c r="H68" s="12">
        <f>((F68*0.7)+(G68*0.3))*0.4</f>
        <v>1.54</v>
      </c>
      <c r="I68" s="3"/>
      <c r="J68" s="3"/>
      <c r="K68" s="3">
        <f>(I68*0.5)+(J68*0.5)</f>
        <v>0</v>
      </c>
      <c r="L68" s="4"/>
      <c r="M68" s="4">
        <f>((K68*0.7)+(L68*0.3))*0.7</f>
        <v>0</v>
      </c>
      <c r="N68" s="2"/>
      <c r="O68" s="5">
        <f>(H68*0.4)+(M68*0.6)</f>
        <v>0.6160000000000001</v>
      </c>
      <c r="P68" s="6" t="s">
        <v>5</v>
      </c>
    </row>
    <row r="69" spans="1:16" ht="15.75" customHeight="1" x14ac:dyDescent="0.25">
      <c r="A69" s="57">
        <v>68</v>
      </c>
      <c r="B69" s="50" t="s">
        <v>129</v>
      </c>
      <c r="C69" s="26" t="s">
        <v>56</v>
      </c>
      <c r="D69" s="27">
        <v>14</v>
      </c>
      <c r="E69" s="28"/>
      <c r="F69" s="10">
        <f>(D69*0.5)+(E69*0.5)</f>
        <v>7</v>
      </c>
      <c r="G69" s="7"/>
      <c r="H69" s="12">
        <f>((F69*0.7)+(G69*0.3))*0.4</f>
        <v>1.96</v>
      </c>
      <c r="I69" s="3"/>
      <c r="J69" s="3"/>
      <c r="K69" s="3">
        <f>(I69*0.5)+(J69*0.5)</f>
        <v>0</v>
      </c>
      <c r="L69" s="4"/>
      <c r="M69" s="4">
        <f>((K69*0.7)+(L69*0.3))*0.7</f>
        <v>0</v>
      </c>
      <c r="N69" s="2"/>
      <c r="O69" s="5">
        <f>(H69*0.4)+(M69*0.6)</f>
        <v>0.78400000000000003</v>
      </c>
      <c r="P69" s="6" t="s">
        <v>5</v>
      </c>
    </row>
    <row r="70" spans="1:16" ht="15.75" customHeight="1" x14ac:dyDescent="0.25">
      <c r="A70" s="57">
        <v>69</v>
      </c>
      <c r="B70" s="49" t="s">
        <v>172</v>
      </c>
      <c r="C70" s="26">
        <v>14</v>
      </c>
      <c r="D70" s="11">
        <v>9</v>
      </c>
      <c r="E70" s="28"/>
      <c r="F70" s="10">
        <f>(D70*0.5)+(E70*0.5)</f>
        <v>4.5</v>
      </c>
      <c r="G70" s="7"/>
      <c r="H70" s="12">
        <f>((F70*0.7)+(G70*0.3))*0.4</f>
        <v>1.26</v>
      </c>
      <c r="I70" s="3"/>
      <c r="J70" s="3"/>
      <c r="K70" s="3">
        <f>(I70*0.5)+(J70*0.5)</f>
        <v>0</v>
      </c>
      <c r="L70" s="4"/>
      <c r="M70" s="4">
        <f>((K70*0.7)+(L70*0.3))*0.7</f>
        <v>0</v>
      </c>
      <c r="N70" s="2"/>
      <c r="O70" s="5">
        <f>(H70*0.4)+(M70*0.6)</f>
        <v>0.504</v>
      </c>
      <c r="P70" s="6" t="s">
        <v>5</v>
      </c>
    </row>
    <row r="71" spans="1:16" ht="15.75" customHeight="1" x14ac:dyDescent="0.25">
      <c r="A71" s="57">
        <v>70</v>
      </c>
      <c r="B71" s="42" t="s">
        <v>232</v>
      </c>
      <c r="C71" s="31">
        <v>16</v>
      </c>
      <c r="D71" s="35">
        <v>10</v>
      </c>
      <c r="E71" s="28"/>
      <c r="F71" s="10">
        <f>(D71*0.5)+(E71*0.5)</f>
        <v>5</v>
      </c>
      <c r="G71" s="7"/>
      <c r="H71" s="12">
        <f>((F71*0.7)+(G71*0.3))*0.4</f>
        <v>1.4000000000000001</v>
      </c>
      <c r="I71" s="3"/>
      <c r="J71" s="3"/>
      <c r="K71" s="3">
        <f>(I71*0.5)+(J71*0.5)</f>
        <v>0</v>
      </c>
      <c r="L71" s="4"/>
      <c r="M71" s="4">
        <f>((K71*0.7)+(L71*0.3))*0.7</f>
        <v>0</v>
      </c>
      <c r="N71" s="2"/>
      <c r="O71" s="5">
        <f>(H71*0.4)+(M71*0.6)</f>
        <v>0.56000000000000005</v>
      </c>
      <c r="P71" s="6" t="s">
        <v>5</v>
      </c>
    </row>
    <row r="72" spans="1:16" ht="15.75" customHeight="1" x14ac:dyDescent="0.25">
      <c r="A72" s="57">
        <v>71</v>
      </c>
      <c r="B72" s="42" t="s">
        <v>210</v>
      </c>
      <c r="C72" s="31">
        <v>12</v>
      </c>
      <c r="D72" s="32">
        <v>7</v>
      </c>
      <c r="E72" s="28"/>
      <c r="F72" s="10">
        <f>(D72*0.5)+(E72*0.5)</f>
        <v>3.5</v>
      </c>
      <c r="G72" s="7"/>
      <c r="H72" s="12">
        <f>((F72*0.7)+(G72*0.3))*0.4</f>
        <v>0.98</v>
      </c>
      <c r="I72" s="3"/>
      <c r="J72" s="3"/>
      <c r="K72" s="3">
        <f>(I72*0.5)+(J72*0.5)</f>
        <v>0</v>
      </c>
      <c r="L72" s="4"/>
      <c r="M72" s="4">
        <f>((K72*0.7)+(L72*0.3))*0.7</f>
        <v>0</v>
      </c>
      <c r="N72" s="2"/>
      <c r="O72" s="5">
        <f>(H72*0.4)+(M72*0.6)</f>
        <v>0.39200000000000002</v>
      </c>
      <c r="P72" s="6" t="s">
        <v>5</v>
      </c>
    </row>
    <row r="73" spans="1:16" ht="15.75" customHeight="1" x14ac:dyDescent="0.25">
      <c r="A73" s="57">
        <v>72</v>
      </c>
      <c r="B73" s="42" t="s">
        <v>273</v>
      </c>
      <c r="C73" s="31" t="s">
        <v>56</v>
      </c>
      <c r="D73" s="35">
        <v>5</v>
      </c>
      <c r="E73" s="28"/>
      <c r="F73" s="10">
        <f>(D73*0.5)+(E73*0.5)</f>
        <v>2.5</v>
      </c>
      <c r="G73" s="7"/>
      <c r="H73" s="12">
        <f>((F73*0.7)+(G73*0.3))*0.4</f>
        <v>0.70000000000000007</v>
      </c>
      <c r="I73" s="3"/>
      <c r="J73" s="3"/>
      <c r="K73" s="3">
        <f>(I73*0.5)+(J73*0.5)</f>
        <v>0</v>
      </c>
      <c r="L73" s="4"/>
      <c r="M73" s="4">
        <f>((K73*0.7)+(L73*0.3))*0.7</f>
        <v>0</v>
      </c>
      <c r="N73" s="2"/>
      <c r="O73" s="5">
        <f>(H73*0.4)+(M73*0.6)</f>
        <v>0.28000000000000003</v>
      </c>
      <c r="P73" s="6" t="s">
        <v>5</v>
      </c>
    </row>
    <row r="74" spans="1:16" ht="15.75" customHeight="1" x14ac:dyDescent="0.25">
      <c r="A74" s="57">
        <v>73</v>
      </c>
      <c r="B74" s="50" t="s">
        <v>130</v>
      </c>
      <c r="C74" s="26" t="s">
        <v>56</v>
      </c>
      <c r="D74" s="27">
        <v>17</v>
      </c>
      <c r="E74" s="28"/>
      <c r="F74" s="10">
        <f>(D74*0.5)+(E74*0.5)</f>
        <v>8.5</v>
      </c>
      <c r="G74" s="7"/>
      <c r="H74" s="12">
        <f>((F74*0.7)+(G74*0.3))*0.4</f>
        <v>2.38</v>
      </c>
      <c r="I74" s="3"/>
      <c r="J74" s="3"/>
      <c r="K74" s="3">
        <f>(I74*0.5)+(J74*0.5)</f>
        <v>0</v>
      </c>
      <c r="L74" s="4"/>
      <c r="M74" s="4">
        <f>((K74*0.7)+(L74*0.3))*0.7</f>
        <v>0</v>
      </c>
      <c r="N74" s="2"/>
      <c r="O74" s="5">
        <f>(H74*0.4)+(M74*0.6)</f>
        <v>0.95199999999999996</v>
      </c>
      <c r="P74" s="6" t="s">
        <v>5</v>
      </c>
    </row>
    <row r="75" spans="1:16" ht="15.75" customHeight="1" x14ac:dyDescent="0.25">
      <c r="A75" s="57">
        <v>74</v>
      </c>
      <c r="B75" s="42" t="s">
        <v>274</v>
      </c>
      <c r="C75" s="39">
        <v>10</v>
      </c>
      <c r="D75" s="34">
        <v>14</v>
      </c>
      <c r="E75" s="28"/>
      <c r="F75" s="10">
        <f>(D75*0.5)+(E75*0.5)</f>
        <v>7</v>
      </c>
      <c r="G75" s="7"/>
      <c r="H75" s="12">
        <f>((F75*0.7)+(G75*0.3))*0.4</f>
        <v>1.96</v>
      </c>
      <c r="I75" s="3"/>
      <c r="J75" s="3"/>
      <c r="K75" s="3">
        <f>(I75*0.5)+(J75*0.5)</f>
        <v>0</v>
      </c>
      <c r="L75" s="4"/>
      <c r="M75" s="4">
        <f>((K75*0.7)+(L75*0.3))*0.7</f>
        <v>0</v>
      </c>
      <c r="N75" s="2"/>
      <c r="O75" s="5">
        <f>(H75*0.4)+(M75*0.6)</f>
        <v>0.78400000000000003</v>
      </c>
      <c r="P75" s="6" t="s">
        <v>5</v>
      </c>
    </row>
    <row r="76" spans="1:16" ht="15.75" customHeight="1" x14ac:dyDescent="0.25">
      <c r="A76" s="57">
        <v>75</v>
      </c>
      <c r="B76" s="49" t="s">
        <v>173</v>
      </c>
      <c r="C76" s="26">
        <v>12</v>
      </c>
      <c r="D76" s="9">
        <v>18</v>
      </c>
      <c r="E76" s="28"/>
      <c r="F76" s="10">
        <f>(D76*0.5)+(E76*0.5)</f>
        <v>9</v>
      </c>
      <c r="G76" s="7"/>
      <c r="H76" s="12">
        <f>((F76*0.7)+(G76*0.3))*0.4</f>
        <v>2.52</v>
      </c>
      <c r="I76" s="3"/>
      <c r="J76" s="3"/>
      <c r="K76" s="3">
        <f>(I76*0.5)+(J76*0.5)</f>
        <v>0</v>
      </c>
      <c r="L76" s="4"/>
      <c r="M76" s="4">
        <f>((K76*0.7)+(L76*0.3))*0.7</f>
        <v>0</v>
      </c>
      <c r="N76" s="2"/>
      <c r="O76" s="5">
        <f>(H76*0.4)+(M76*0.6)</f>
        <v>1.008</v>
      </c>
      <c r="P76" s="6" t="s">
        <v>5</v>
      </c>
    </row>
    <row r="77" spans="1:16" ht="15.75" customHeight="1" x14ac:dyDescent="0.25">
      <c r="A77" s="57">
        <v>76</v>
      </c>
      <c r="B77" s="49" t="s">
        <v>22</v>
      </c>
      <c r="C77" s="31">
        <v>10</v>
      </c>
      <c r="D77" s="9">
        <v>15</v>
      </c>
      <c r="E77" s="28"/>
      <c r="F77" s="10">
        <f>(D77*0.5)+(E77*0.5)</f>
        <v>7.5</v>
      </c>
      <c r="G77" s="7"/>
      <c r="H77" s="12">
        <f>((F77*0.7)+(G77*0.3))*0.4</f>
        <v>2.1</v>
      </c>
      <c r="I77" s="3"/>
      <c r="J77" s="3"/>
      <c r="K77" s="3">
        <f>(I77*0.5)+(J77*0.5)</f>
        <v>0</v>
      </c>
      <c r="L77" s="4"/>
      <c r="M77" s="4">
        <f>((K77*0.7)+(L77*0.3))*0.7</f>
        <v>0</v>
      </c>
      <c r="N77" s="2"/>
      <c r="O77" s="5">
        <f>(H77*0.4)+(M77*0.6)</f>
        <v>0.84000000000000008</v>
      </c>
      <c r="P77" s="6" t="s">
        <v>5</v>
      </c>
    </row>
    <row r="78" spans="1:16" ht="15.75" customHeight="1" x14ac:dyDescent="0.25">
      <c r="A78" s="57">
        <v>77</v>
      </c>
      <c r="B78" s="42" t="s">
        <v>233</v>
      </c>
      <c r="C78" s="31">
        <v>20</v>
      </c>
      <c r="D78" s="34">
        <v>15</v>
      </c>
      <c r="E78" s="28"/>
      <c r="F78" s="10">
        <f>(D78*0.5)+(E78*0.5)</f>
        <v>7.5</v>
      </c>
      <c r="G78" s="7"/>
      <c r="H78" s="12">
        <f>((F78*0.7)+(G78*0.3))*0.4</f>
        <v>2.1</v>
      </c>
      <c r="I78" s="3"/>
      <c r="J78" s="3"/>
      <c r="K78" s="3">
        <f>(I78*0.5)+(J78*0.5)</f>
        <v>0</v>
      </c>
      <c r="L78" s="4"/>
      <c r="M78" s="4">
        <f>((K78*0.7)+(L78*0.3))*0.7</f>
        <v>0</v>
      </c>
      <c r="N78" s="2"/>
      <c r="O78" s="5">
        <f>(H78*0.4)+(M78*0.6)</f>
        <v>0.84000000000000008</v>
      </c>
      <c r="P78" s="6" t="s">
        <v>5</v>
      </c>
    </row>
    <row r="79" spans="1:16" ht="15.75" customHeight="1" x14ac:dyDescent="0.25">
      <c r="A79" s="57">
        <v>78</v>
      </c>
      <c r="B79" s="42" t="s">
        <v>275</v>
      </c>
      <c r="C79" s="31">
        <v>20</v>
      </c>
      <c r="D79" s="34">
        <v>14</v>
      </c>
      <c r="E79" s="28"/>
      <c r="F79" s="10">
        <f>(D79*0.5)+(E79*0.5)</f>
        <v>7</v>
      </c>
      <c r="G79" s="7"/>
      <c r="H79" s="12">
        <f>((F79*0.7)+(G79*0.3))*0.4</f>
        <v>1.96</v>
      </c>
      <c r="I79" s="3"/>
      <c r="J79" s="3"/>
      <c r="K79" s="3">
        <f>(I79*0.5)+(J79*0.5)</f>
        <v>0</v>
      </c>
      <c r="L79" s="4"/>
      <c r="M79" s="4">
        <f>((K79*0.7)+(L79*0.3))*0.7</f>
        <v>0</v>
      </c>
      <c r="N79" s="2"/>
      <c r="O79" s="5">
        <f>(H79*0.4)+(M79*0.6)</f>
        <v>0.78400000000000003</v>
      </c>
      <c r="P79" s="6" t="s">
        <v>5</v>
      </c>
    </row>
    <row r="80" spans="1:16" ht="15.75" customHeight="1" x14ac:dyDescent="0.25">
      <c r="A80" s="57">
        <v>79</v>
      </c>
      <c r="B80" s="50" t="s">
        <v>131</v>
      </c>
      <c r="C80" s="26" t="s">
        <v>56</v>
      </c>
      <c r="D80" s="27">
        <v>17</v>
      </c>
      <c r="E80" s="28"/>
      <c r="F80" s="10">
        <f>(D80*0.5)+(E80*0.5)</f>
        <v>8.5</v>
      </c>
      <c r="G80" s="7"/>
      <c r="H80" s="12">
        <f>((F80*0.7)+(G80*0.3))*0.4</f>
        <v>2.38</v>
      </c>
      <c r="I80" s="3"/>
      <c r="J80" s="3"/>
      <c r="K80" s="3">
        <f>(I80*0.5)+(J80*0.5)</f>
        <v>0</v>
      </c>
      <c r="L80" s="4"/>
      <c r="M80" s="4">
        <f>((K80*0.7)+(L80*0.3))*0.7</f>
        <v>0</v>
      </c>
      <c r="N80" s="2"/>
      <c r="O80" s="5">
        <f>(H80*0.4)+(M80*0.6)</f>
        <v>0.95199999999999996</v>
      </c>
      <c r="P80" s="6" t="s">
        <v>5</v>
      </c>
    </row>
    <row r="81" spans="1:16" ht="15.75" customHeight="1" x14ac:dyDescent="0.25">
      <c r="A81" s="57">
        <v>80</v>
      </c>
      <c r="B81" s="49" t="s">
        <v>23</v>
      </c>
      <c r="C81" s="31">
        <v>20</v>
      </c>
      <c r="D81" s="9">
        <v>14</v>
      </c>
      <c r="E81" s="28"/>
      <c r="F81" s="10">
        <f>(D81*0.5)+(E81*0.5)</f>
        <v>7</v>
      </c>
      <c r="G81" s="7"/>
      <c r="H81" s="12">
        <f>((F81*0.7)+(G81*0.3))*0.4</f>
        <v>1.96</v>
      </c>
      <c r="I81" s="3"/>
      <c r="J81" s="3"/>
      <c r="K81" s="3">
        <f>(I81*0.5)+(J81*0.5)</f>
        <v>0</v>
      </c>
      <c r="L81" s="4"/>
      <c r="M81" s="4">
        <f>((K81*0.7)+(L81*0.3))*0.7</f>
        <v>0</v>
      </c>
      <c r="N81" s="2"/>
      <c r="O81" s="5">
        <f>(H81*0.4)+(M81*0.6)</f>
        <v>0.78400000000000003</v>
      </c>
      <c r="P81" s="6" t="s">
        <v>5</v>
      </c>
    </row>
    <row r="82" spans="1:16" ht="15.75" customHeight="1" x14ac:dyDescent="0.25">
      <c r="A82" s="57">
        <v>81</v>
      </c>
      <c r="B82" s="42" t="s">
        <v>276</v>
      </c>
      <c r="C82" s="31">
        <v>18</v>
      </c>
      <c r="D82" s="35">
        <v>8</v>
      </c>
      <c r="E82" s="28"/>
      <c r="F82" s="10">
        <f>(D82*0.5)+(E82*0.5)</f>
        <v>4</v>
      </c>
      <c r="G82" s="7"/>
      <c r="H82" s="12">
        <f>((F82*0.7)+(G82*0.3))*0.4</f>
        <v>1.1199999999999999</v>
      </c>
      <c r="I82" s="3"/>
      <c r="J82" s="3"/>
      <c r="K82" s="3">
        <f>(I82*0.5)+(J82*0.5)</f>
        <v>0</v>
      </c>
      <c r="L82" s="4"/>
      <c r="M82" s="4">
        <f>((K82*0.7)+(L82*0.3))*0.7</f>
        <v>0</v>
      </c>
      <c r="N82" s="2"/>
      <c r="O82" s="5">
        <f>(H82*0.4)+(M82*0.6)</f>
        <v>0.44799999999999995</v>
      </c>
      <c r="P82" s="6" t="s">
        <v>5</v>
      </c>
    </row>
    <row r="83" spans="1:16" ht="15.75" customHeight="1" x14ac:dyDescent="0.25">
      <c r="A83" s="57">
        <v>82</v>
      </c>
      <c r="B83" s="42" t="s">
        <v>277</v>
      </c>
      <c r="C83" s="39">
        <v>4</v>
      </c>
      <c r="D83" s="34">
        <v>14</v>
      </c>
      <c r="E83" s="28"/>
      <c r="F83" s="10">
        <f>(D83*0.5)+(E83*0.5)</f>
        <v>7</v>
      </c>
      <c r="G83" s="7"/>
      <c r="H83" s="12">
        <f>((F83*0.7)+(G83*0.3))*0.4</f>
        <v>1.96</v>
      </c>
      <c r="I83" s="3"/>
      <c r="J83" s="3"/>
      <c r="K83" s="3">
        <f>(I83*0.5)+(J83*0.5)</f>
        <v>0</v>
      </c>
      <c r="L83" s="4"/>
      <c r="M83" s="4">
        <f>((K83*0.7)+(L83*0.3))*0.7</f>
        <v>0</v>
      </c>
      <c r="N83" s="2"/>
      <c r="O83" s="5">
        <f>(H83*0.4)+(M83*0.6)</f>
        <v>0.78400000000000003</v>
      </c>
      <c r="P83" s="6" t="s">
        <v>5</v>
      </c>
    </row>
    <row r="84" spans="1:16" ht="15.75" customHeight="1" x14ac:dyDescent="0.25">
      <c r="A84" s="57">
        <v>83</v>
      </c>
      <c r="B84" s="51" t="s">
        <v>132</v>
      </c>
      <c r="C84" s="29" t="s">
        <v>56</v>
      </c>
      <c r="D84" s="30">
        <v>0</v>
      </c>
      <c r="E84" s="28"/>
      <c r="F84" s="10">
        <f>(D84*0.5)+(E84*0.5)</f>
        <v>0</v>
      </c>
      <c r="G84" s="7"/>
      <c r="H84" s="12">
        <f>((F84*0.7)+(G84*0.3))*0.4</f>
        <v>0</v>
      </c>
      <c r="I84" s="3"/>
      <c r="J84" s="3"/>
      <c r="K84" s="3">
        <f>(I84*0.5)+(J84*0.5)</f>
        <v>0</v>
      </c>
      <c r="L84" s="4"/>
      <c r="M84" s="4">
        <f>((K84*0.7)+(L84*0.3))*0.7</f>
        <v>0</v>
      </c>
      <c r="N84" s="2"/>
      <c r="O84" s="5">
        <f>(H84*0.4)+(M84*0.6)</f>
        <v>0</v>
      </c>
      <c r="P84" s="6" t="s">
        <v>5</v>
      </c>
    </row>
    <row r="85" spans="1:16" ht="15.75" customHeight="1" x14ac:dyDescent="0.25">
      <c r="A85" s="57">
        <v>84</v>
      </c>
      <c r="B85" s="42" t="s">
        <v>234</v>
      </c>
      <c r="C85" s="31">
        <v>20</v>
      </c>
      <c r="D85" s="34">
        <v>14</v>
      </c>
      <c r="E85" s="28"/>
      <c r="F85" s="10">
        <f>(D85*0.5)+(E85*0.5)</f>
        <v>7</v>
      </c>
      <c r="G85" s="7"/>
      <c r="H85" s="12">
        <f>((F85*0.7)+(G85*0.3))*0.4</f>
        <v>1.96</v>
      </c>
      <c r="I85" s="3"/>
      <c r="J85" s="3"/>
      <c r="K85" s="3">
        <f>(I85*0.5)+(J85*0.5)</f>
        <v>0</v>
      </c>
      <c r="L85" s="4"/>
      <c r="M85" s="4">
        <f>((K85*0.7)+(L85*0.3))*0.7</f>
        <v>0</v>
      </c>
      <c r="N85" s="2"/>
      <c r="O85" s="5">
        <f>(H85*0.4)+(M85*0.6)</f>
        <v>0.78400000000000003</v>
      </c>
      <c r="P85" s="6" t="s">
        <v>5</v>
      </c>
    </row>
    <row r="86" spans="1:16" ht="15.75" customHeight="1" x14ac:dyDescent="0.25">
      <c r="A86" s="57">
        <v>85</v>
      </c>
      <c r="B86" s="49" t="s">
        <v>24</v>
      </c>
      <c r="C86" s="31">
        <v>12</v>
      </c>
      <c r="D86" s="9">
        <v>12</v>
      </c>
      <c r="E86" s="28"/>
      <c r="F86" s="10">
        <f>(D86*0.5)+(E86*0.5)</f>
        <v>6</v>
      </c>
      <c r="G86" s="7"/>
      <c r="H86" s="12">
        <f>((F86*0.7)+(G86*0.3))*0.4</f>
        <v>1.6799999999999997</v>
      </c>
      <c r="I86" s="3"/>
      <c r="J86" s="3"/>
      <c r="K86" s="3">
        <f>(I86*0.5)+(J86*0.5)</f>
        <v>0</v>
      </c>
      <c r="L86" s="4"/>
      <c r="M86" s="4">
        <f>((K86*0.7)+(L86*0.3))*0.7</f>
        <v>0</v>
      </c>
      <c r="N86" s="2"/>
      <c r="O86" s="5">
        <f>(H86*0.4)+(M86*0.6)</f>
        <v>0.67199999999999993</v>
      </c>
      <c r="P86" s="6" t="s">
        <v>5</v>
      </c>
    </row>
    <row r="87" spans="1:16" ht="15.75" customHeight="1" x14ac:dyDescent="0.25">
      <c r="A87" s="57">
        <v>86</v>
      </c>
      <c r="B87" s="49" t="s">
        <v>174</v>
      </c>
      <c r="C87" s="31" t="s">
        <v>56</v>
      </c>
      <c r="D87" s="9">
        <v>13</v>
      </c>
      <c r="E87" s="28"/>
      <c r="F87" s="10">
        <f>(D87*0.5)+(E87*0.5)</f>
        <v>6.5</v>
      </c>
      <c r="G87" s="7"/>
      <c r="H87" s="12">
        <f>((F87*0.7)+(G87*0.3))*0.4</f>
        <v>1.82</v>
      </c>
      <c r="I87" s="3"/>
      <c r="J87" s="3"/>
      <c r="K87" s="3">
        <f>(I87*0.5)+(J87*0.5)</f>
        <v>0</v>
      </c>
      <c r="L87" s="4"/>
      <c r="M87" s="4">
        <f>((K87*0.7)+(L87*0.3))*0.7</f>
        <v>0</v>
      </c>
      <c r="N87" s="2"/>
      <c r="O87" s="5">
        <f>(H87*0.4)+(M87*0.6)</f>
        <v>0.72800000000000009</v>
      </c>
      <c r="P87" s="6" t="s">
        <v>5</v>
      </c>
    </row>
    <row r="88" spans="1:16" ht="15.75" customHeight="1" x14ac:dyDescent="0.25">
      <c r="A88" s="57">
        <v>87</v>
      </c>
      <c r="B88" s="49" t="s">
        <v>25</v>
      </c>
      <c r="C88" s="31">
        <v>20</v>
      </c>
      <c r="D88" s="9">
        <v>16</v>
      </c>
      <c r="E88" s="28"/>
      <c r="F88" s="10">
        <f>(D88*0.5)+(E88*0.5)</f>
        <v>8</v>
      </c>
      <c r="G88" s="7"/>
      <c r="H88" s="12">
        <f>((F88*0.7)+(G88*0.3))*0.4</f>
        <v>2.2399999999999998</v>
      </c>
      <c r="I88" s="3"/>
      <c r="J88" s="3"/>
      <c r="K88" s="3">
        <f>(I88*0.5)+(J88*0.5)</f>
        <v>0</v>
      </c>
      <c r="L88" s="4"/>
      <c r="M88" s="4">
        <f>((K88*0.7)+(L88*0.3))*0.7</f>
        <v>0</v>
      </c>
      <c r="N88" s="2"/>
      <c r="O88" s="5">
        <f>(H88*0.4)+(M88*0.6)</f>
        <v>0.89599999999999991</v>
      </c>
      <c r="P88" s="6" t="s">
        <v>5</v>
      </c>
    </row>
    <row r="89" spans="1:16" ht="15.75" customHeight="1" x14ac:dyDescent="0.25">
      <c r="A89" s="57">
        <v>88</v>
      </c>
      <c r="B89" s="42" t="s">
        <v>235</v>
      </c>
      <c r="C89" s="31" t="s">
        <v>56</v>
      </c>
      <c r="D89" s="34">
        <v>12</v>
      </c>
      <c r="E89" s="28"/>
      <c r="F89" s="10">
        <f>(D89*0.5)+(E89*0.5)</f>
        <v>6</v>
      </c>
      <c r="G89" s="7"/>
      <c r="H89" s="12">
        <f>((F89*0.7)+(G89*0.3))*0.4</f>
        <v>1.6799999999999997</v>
      </c>
      <c r="I89" s="3"/>
      <c r="J89" s="3"/>
      <c r="K89" s="3">
        <f>(I89*0.5)+(J89*0.5)</f>
        <v>0</v>
      </c>
      <c r="L89" s="4"/>
      <c r="M89" s="4">
        <f>((K89*0.7)+(L89*0.3))*0.7</f>
        <v>0</v>
      </c>
      <c r="N89" s="2"/>
      <c r="O89" s="5">
        <f>(H89*0.4)+(M89*0.6)</f>
        <v>0.67199999999999993</v>
      </c>
      <c r="P89" s="6" t="s">
        <v>5</v>
      </c>
    </row>
    <row r="90" spans="1:16" ht="15.75" customHeight="1" x14ac:dyDescent="0.25">
      <c r="A90" s="57">
        <v>89</v>
      </c>
      <c r="B90" s="50" t="s">
        <v>133</v>
      </c>
      <c r="C90" s="26">
        <v>12</v>
      </c>
      <c r="D90" s="27">
        <v>16</v>
      </c>
      <c r="E90" s="28"/>
      <c r="F90" s="10">
        <f>(D90*0.5)+(E90*0.5)</f>
        <v>8</v>
      </c>
      <c r="G90" s="7"/>
      <c r="H90" s="12">
        <f>((F90*0.7)+(G90*0.3))*0.4</f>
        <v>2.2399999999999998</v>
      </c>
      <c r="I90" s="3"/>
      <c r="J90" s="3"/>
      <c r="K90" s="3">
        <f>(I90*0.5)+(J90*0.5)</f>
        <v>0</v>
      </c>
      <c r="L90" s="4"/>
      <c r="M90" s="4">
        <f>((K90*0.7)+(L90*0.3))*0.7</f>
        <v>0</v>
      </c>
      <c r="N90" s="2"/>
      <c r="O90" s="5">
        <f>(H90*0.4)+(M90*0.6)</f>
        <v>0.89599999999999991</v>
      </c>
      <c r="P90" s="6" t="s">
        <v>5</v>
      </c>
    </row>
    <row r="91" spans="1:16" ht="15.75" customHeight="1" x14ac:dyDescent="0.25">
      <c r="A91" s="57">
        <v>90</v>
      </c>
      <c r="B91" s="50" t="s">
        <v>134</v>
      </c>
      <c r="C91" s="26" t="s">
        <v>56</v>
      </c>
      <c r="D91" s="27">
        <v>16</v>
      </c>
      <c r="E91" s="28"/>
      <c r="F91" s="10">
        <f>(D91*0.5)+(E91*0.5)</f>
        <v>8</v>
      </c>
      <c r="G91" s="7"/>
      <c r="H91" s="12">
        <f>((F91*0.7)+(G91*0.3))*0.4</f>
        <v>2.2399999999999998</v>
      </c>
      <c r="I91" s="3"/>
      <c r="J91" s="3"/>
      <c r="K91" s="3">
        <f>(I91*0.5)+(J91*0.5)</f>
        <v>0</v>
      </c>
      <c r="L91" s="4"/>
      <c r="M91" s="4">
        <f>((K91*0.7)+(L91*0.3))*0.7</f>
        <v>0</v>
      </c>
      <c r="N91" s="2"/>
      <c r="O91" s="5">
        <f>(H91*0.4)+(M91*0.6)</f>
        <v>0.89599999999999991</v>
      </c>
      <c r="P91" s="6" t="s">
        <v>5</v>
      </c>
    </row>
    <row r="92" spans="1:16" ht="15.75" customHeight="1" x14ac:dyDescent="0.25">
      <c r="A92" s="57">
        <v>91</v>
      </c>
      <c r="B92" s="49" t="s">
        <v>175</v>
      </c>
      <c r="C92" s="31" t="s">
        <v>56</v>
      </c>
      <c r="D92" s="11">
        <v>0</v>
      </c>
      <c r="E92" s="28"/>
      <c r="F92" s="10">
        <f>(D92*0.5)+(E92*0.5)</f>
        <v>0</v>
      </c>
      <c r="G92" s="7"/>
      <c r="H92" s="12">
        <f>((F92*0.7)+(G92*0.3))*0.4</f>
        <v>0</v>
      </c>
      <c r="I92" s="3"/>
      <c r="J92" s="3"/>
      <c r="K92" s="3">
        <f>(I92*0.5)+(J92*0.5)</f>
        <v>0</v>
      </c>
      <c r="L92" s="4"/>
      <c r="M92" s="4">
        <f>((K92*0.7)+(L92*0.3))*0.7</f>
        <v>0</v>
      </c>
      <c r="N92" s="2"/>
      <c r="O92" s="5">
        <f>(H92*0.4)+(M92*0.6)</f>
        <v>0</v>
      </c>
      <c r="P92" s="6" t="s">
        <v>5</v>
      </c>
    </row>
    <row r="93" spans="1:16" ht="15.75" customHeight="1" x14ac:dyDescent="0.25">
      <c r="A93" s="57">
        <v>92</v>
      </c>
      <c r="B93" s="43" t="s">
        <v>236</v>
      </c>
      <c r="C93" s="31" t="s">
        <v>56</v>
      </c>
      <c r="D93" s="34">
        <v>14</v>
      </c>
      <c r="E93" s="28"/>
      <c r="F93" s="10">
        <f>(D93*0.5)+(E93*0.5)</f>
        <v>7</v>
      </c>
      <c r="G93" s="7"/>
      <c r="H93" s="12">
        <f>((F93*0.7)+(G93*0.3))*0.4</f>
        <v>1.96</v>
      </c>
      <c r="I93" s="3"/>
      <c r="J93" s="3"/>
      <c r="K93" s="3">
        <f>(I93*0.5)+(J93*0.5)</f>
        <v>0</v>
      </c>
      <c r="L93" s="4"/>
      <c r="M93" s="4">
        <f>((K93*0.7)+(L93*0.3))*0.7</f>
        <v>0</v>
      </c>
      <c r="N93" s="2"/>
      <c r="O93" s="5">
        <f>(H93*0.4)+(M93*0.6)</f>
        <v>0.78400000000000003</v>
      </c>
      <c r="P93" s="6" t="s">
        <v>5</v>
      </c>
    </row>
    <row r="94" spans="1:16" ht="15.75" customHeight="1" x14ac:dyDescent="0.25">
      <c r="A94" s="57">
        <v>93</v>
      </c>
      <c r="B94" s="52" t="s">
        <v>176</v>
      </c>
      <c r="C94" s="26">
        <v>20</v>
      </c>
      <c r="D94" s="9">
        <v>17</v>
      </c>
      <c r="E94" s="28"/>
      <c r="F94" s="10">
        <f>(D94*0.5)+(E94*0.5)</f>
        <v>8.5</v>
      </c>
      <c r="G94" s="7"/>
      <c r="H94" s="12">
        <f>((F94*0.7)+(G94*0.3))*0.4</f>
        <v>2.38</v>
      </c>
      <c r="I94" s="3"/>
      <c r="J94" s="3"/>
      <c r="K94" s="3">
        <f>(I94*0.5)+(J94*0.5)</f>
        <v>0</v>
      </c>
      <c r="L94" s="4"/>
      <c r="M94" s="4">
        <f>((K94*0.7)+(L94*0.3))*0.7</f>
        <v>0</v>
      </c>
      <c r="N94" s="2"/>
      <c r="O94" s="5">
        <f>(H94*0.4)+(M94*0.6)</f>
        <v>0.95199999999999996</v>
      </c>
      <c r="P94" s="6" t="s">
        <v>5</v>
      </c>
    </row>
    <row r="95" spans="1:16" ht="15.75" customHeight="1" x14ac:dyDescent="0.25">
      <c r="A95" s="57">
        <v>94</v>
      </c>
      <c r="B95" s="52" t="s">
        <v>177</v>
      </c>
      <c r="C95" s="31" t="s">
        <v>56</v>
      </c>
      <c r="D95" s="9">
        <v>13</v>
      </c>
      <c r="E95" s="28"/>
      <c r="F95" s="10">
        <f>(D95*0.5)+(E95*0.5)</f>
        <v>6.5</v>
      </c>
      <c r="G95" s="7"/>
      <c r="H95" s="12">
        <f>((F95*0.7)+(G95*0.3))*0.4</f>
        <v>1.82</v>
      </c>
      <c r="I95" s="3"/>
      <c r="J95" s="3"/>
      <c r="K95" s="3">
        <f>(I95*0.5)+(J95*0.5)</f>
        <v>0</v>
      </c>
      <c r="L95" s="4"/>
      <c r="M95" s="4">
        <f>((K95*0.7)+(L95*0.3))*0.7</f>
        <v>0</v>
      </c>
      <c r="N95" s="2"/>
      <c r="O95" s="5">
        <f>(H95*0.4)+(M95*0.6)</f>
        <v>0.72800000000000009</v>
      </c>
      <c r="P95" s="6" t="s">
        <v>5</v>
      </c>
    </row>
    <row r="96" spans="1:16" ht="15.75" customHeight="1" x14ac:dyDescent="0.25">
      <c r="A96" s="57">
        <v>95</v>
      </c>
      <c r="B96" s="43" t="s">
        <v>237</v>
      </c>
      <c r="C96" s="31" t="s">
        <v>56</v>
      </c>
      <c r="D96" s="34">
        <v>13</v>
      </c>
      <c r="E96" s="28"/>
      <c r="F96" s="10">
        <f>(D96*0.5)+(E96*0.5)</f>
        <v>6.5</v>
      </c>
      <c r="G96" s="7"/>
      <c r="H96" s="12">
        <f>((F96*0.7)+(G96*0.3))*0.4</f>
        <v>1.82</v>
      </c>
      <c r="I96" s="3"/>
      <c r="J96" s="3"/>
      <c r="K96" s="3">
        <f>(I96*0.5)+(J96*0.5)</f>
        <v>0</v>
      </c>
      <c r="L96" s="4"/>
      <c r="M96" s="4">
        <f>((K96*0.7)+(L96*0.3))*0.7</f>
        <v>0</v>
      </c>
      <c r="N96" s="2"/>
      <c r="O96" s="5">
        <f>(H96*0.4)+(M96*0.6)</f>
        <v>0.72800000000000009</v>
      </c>
      <c r="P96" s="6" t="s">
        <v>5</v>
      </c>
    </row>
    <row r="97" spans="1:16" ht="15.75" customHeight="1" x14ac:dyDescent="0.25">
      <c r="A97" s="57">
        <v>96</v>
      </c>
      <c r="B97" s="52" t="s">
        <v>26</v>
      </c>
      <c r="C97" s="31" t="s">
        <v>56</v>
      </c>
      <c r="D97" s="11">
        <v>8</v>
      </c>
      <c r="E97" s="28"/>
      <c r="F97" s="10">
        <f>(D97*0.5)+(E97*0.5)</f>
        <v>4</v>
      </c>
      <c r="G97" s="7"/>
      <c r="H97" s="12">
        <f>((F97*0.7)+(G97*0.3))*0.4</f>
        <v>1.1199999999999999</v>
      </c>
      <c r="I97" s="3"/>
      <c r="J97" s="3"/>
      <c r="K97" s="3">
        <f>(I97*0.5)+(J97*0.5)</f>
        <v>0</v>
      </c>
      <c r="L97" s="4"/>
      <c r="M97" s="4">
        <f>((K97*0.7)+(L97*0.3))*0.7</f>
        <v>0</v>
      </c>
      <c r="N97" s="2"/>
      <c r="O97" s="5">
        <f>(H97*0.4)+(M97*0.6)</f>
        <v>0.44799999999999995</v>
      </c>
      <c r="P97" s="6" t="s">
        <v>5</v>
      </c>
    </row>
    <row r="98" spans="1:16" ht="15.75" customHeight="1" x14ac:dyDescent="0.25">
      <c r="A98" s="57">
        <v>97</v>
      </c>
      <c r="B98" s="43" t="s">
        <v>238</v>
      </c>
      <c r="C98" s="31" t="s">
        <v>56</v>
      </c>
      <c r="D98" s="34">
        <v>16</v>
      </c>
      <c r="E98" s="28"/>
      <c r="F98" s="10">
        <f>(D98*0.5)+(E98*0.5)</f>
        <v>8</v>
      </c>
      <c r="G98" s="7"/>
      <c r="H98" s="12">
        <f>((F98*0.7)+(G98*0.3))*0.4</f>
        <v>2.2399999999999998</v>
      </c>
      <c r="I98" s="3"/>
      <c r="J98" s="3"/>
      <c r="K98" s="3">
        <f>(I98*0.5)+(J98*0.5)</f>
        <v>0</v>
      </c>
      <c r="L98" s="4"/>
      <c r="M98" s="4">
        <f>((K98*0.7)+(L98*0.3))*0.7</f>
        <v>0</v>
      </c>
      <c r="N98" s="2"/>
      <c r="O98" s="5">
        <f>(H98*0.4)+(M98*0.6)</f>
        <v>0.89599999999999991</v>
      </c>
      <c r="P98" s="6" t="s">
        <v>5</v>
      </c>
    </row>
    <row r="99" spans="1:16" ht="15.75" customHeight="1" x14ac:dyDescent="0.25">
      <c r="A99" s="57">
        <v>98</v>
      </c>
      <c r="B99" s="53" t="s">
        <v>135</v>
      </c>
      <c r="C99" s="26" t="s">
        <v>56</v>
      </c>
      <c r="D99" s="27">
        <v>18</v>
      </c>
      <c r="E99" s="28"/>
      <c r="F99" s="10">
        <f>(D99*0.5)+(E99*0.5)</f>
        <v>9</v>
      </c>
      <c r="G99" s="7"/>
      <c r="H99" s="12">
        <f>((F99*0.7)+(G99*0.3))*0.4</f>
        <v>2.52</v>
      </c>
      <c r="I99" s="3"/>
      <c r="J99" s="3"/>
      <c r="K99" s="3">
        <f>(I99*0.5)+(J99*0.5)</f>
        <v>0</v>
      </c>
      <c r="L99" s="4"/>
      <c r="M99" s="4">
        <f>((K99*0.7)+(L99*0.3))*0.7</f>
        <v>0</v>
      </c>
      <c r="N99" s="2"/>
      <c r="O99" s="5">
        <f>(H99*0.4)+(M99*0.6)</f>
        <v>1.008</v>
      </c>
      <c r="P99" s="6" t="s">
        <v>5</v>
      </c>
    </row>
    <row r="100" spans="1:16" ht="15.75" customHeight="1" x14ac:dyDescent="0.25">
      <c r="A100" s="57">
        <v>99</v>
      </c>
      <c r="B100" s="52" t="s">
        <v>27</v>
      </c>
      <c r="C100" s="31">
        <v>20</v>
      </c>
      <c r="D100" s="9">
        <v>16</v>
      </c>
      <c r="E100" s="28"/>
      <c r="F100" s="10">
        <f>(D100*0.5)+(E100*0.5)</f>
        <v>8</v>
      </c>
      <c r="G100" s="7"/>
      <c r="H100" s="12">
        <f>((F100*0.7)+(G100*0.3))*0.4</f>
        <v>2.2399999999999998</v>
      </c>
      <c r="I100" s="3"/>
      <c r="J100" s="3"/>
      <c r="K100" s="3">
        <f>(I100*0.5)+(J100*0.5)</f>
        <v>0</v>
      </c>
      <c r="L100" s="4"/>
      <c r="M100" s="4">
        <f>((K100*0.7)+(L100*0.3))*0.7</f>
        <v>0</v>
      </c>
      <c r="N100" s="2"/>
      <c r="O100" s="5">
        <f>(H100*0.4)+(M100*0.6)</f>
        <v>0.89599999999999991</v>
      </c>
      <c r="P100" s="6" t="s">
        <v>5</v>
      </c>
    </row>
    <row r="101" spans="1:16" ht="15.75" customHeight="1" x14ac:dyDescent="0.25">
      <c r="A101" s="57">
        <v>100</v>
      </c>
      <c r="B101" s="43" t="s">
        <v>211</v>
      </c>
      <c r="C101" s="31">
        <v>18</v>
      </c>
      <c r="D101" s="9">
        <v>12</v>
      </c>
      <c r="E101" s="28"/>
      <c r="F101" s="10">
        <f>(D101*0.5)+(E101*0.5)</f>
        <v>6</v>
      </c>
      <c r="G101" s="7"/>
      <c r="H101" s="12">
        <f>((F101*0.7)+(G101*0.3))*0.4</f>
        <v>1.6799999999999997</v>
      </c>
      <c r="I101" s="3"/>
      <c r="J101" s="3"/>
      <c r="K101" s="3">
        <f>(I101*0.5)+(J101*0.5)</f>
        <v>0</v>
      </c>
      <c r="L101" s="4"/>
      <c r="M101" s="4">
        <f>((K101*0.7)+(L101*0.3))*0.7</f>
        <v>0</v>
      </c>
      <c r="N101" s="2"/>
      <c r="O101" s="5">
        <f>(H101*0.4)+(M101*0.6)</f>
        <v>0.67199999999999993</v>
      </c>
      <c r="P101" s="6" t="s">
        <v>5</v>
      </c>
    </row>
    <row r="102" spans="1:16" ht="15.75" customHeight="1" x14ac:dyDescent="0.25">
      <c r="A102" s="57">
        <v>101</v>
      </c>
      <c r="B102" s="52" t="s">
        <v>178</v>
      </c>
      <c r="C102" s="26">
        <v>6</v>
      </c>
      <c r="D102" s="9">
        <v>15</v>
      </c>
      <c r="E102" s="28"/>
      <c r="F102" s="10">
        <f>(D102*0.5)+(E102*0.5)</f>
        <v>7.5</v>
      </c>
      <c r="G102" s="7"/>
      <c r="H102" s="12">
        <f>((F102*0.7)+(G102*0.3))*0.4</f>
        <v>2.1</v>
      </c>
      <c r="I102" s="3"/>
      <c r="J102" s="3"/>
      <c r="K102" s="3">
        <f>(I102*0.5)+(J102*0.5)</f>
        <v>0</v>
      </c>
      <c r="L102" s="4"/>
      <c r="M102" s="4">
        <f>((K102*0.7)+(L102*0.3))*0.7</f>
        <v>0</v>
      </c>
      <c r="N102" s="2"/>
      <c r="O102" s="5">
        <f>(H102*0.4)+(M102*0.6)</f>
        <v>0.84000000000000008</v>
      </c>
      <c r="P102" s="6" t="s">
        <v>5</v>
      </c>
    </row>
    <row r="103" spans="1:16" ht="15.75" customHeight="1" x14ac:dyDescent="0.25">
      <c r="A103" s="57">
        <v>102</v>
      </c>
      <c r="B103" s="53" t="s">
        <v>136</v>
      </c>
      <c r="C103" s="26">
        <v>18</v>
      </c>
      <c r="D103" s="27">
        <v>18</v>
      </c>
      <c r="E103" s="28"/>
      <c r="F103" s="10">
        <f>(D103*0.5)+(E103*0.5)</f>
        <v>9</v>
      </c>
      <c r="G103" s="7"/>
      <c r="H103" s="12">
        <f>((F103*0.7)+(G103*0.3))*0.4</f>
        <v>2.52</v>
      </c>
      <c r="I103" s="3"/>
      <c r="J103" s="3"/>
      <c r="K103" s="3">
        <f>(I103*0.5)+(J103*0.5)</f>
        <v>0</v>
      </c>
      <c r="L103" s="4"/>
      <c r="M103" s="4">
        <f>((K103*0.7)+(L103*0.3))*0.7</f>
        <v>0</v>
      </c>
      <c r="N103" s="2"/>
      <c r="O103" s="5">
        <f>(H103*0.4)+(M103*0.6)</f>
        <v>1.008</v>
      </c>
      <c r="P103" s="6" t="s">
        <v>5</v>
      </c>
    </row>
    <row r="104" spans="1:16" ht="15.75" customHeight="1" x14ac:dyDescent="0.25">
      <c r="A104" s="57">
        <v>103</v>
      </c>
      <c r="B104" s="52" t="s">
        <v>28</v>
      </c>
      <c r="C104" s="31">
        <v>20</v>
      </c>
      <c r="D104" s="9">
        <v>16</v>
      </c>
      <c r="E104" s="28"/>
      <c r="F104" s="10">
        <f>(D104*0.5)+(E104*0.5)</f>
        <v>8</v>
      </c>
      <c r="G104" s="7"/>
      <c r="H104" s="12">
        <f>((F104*0.7)+(G104*0.3))*0.4</f>
        <v>2.2399999999999998</v>
      </c>
      <c r="I104" s="3"/>
      <c r="J104" s="3"/>
      <c r="K104" s="3">
        <f>(I104*0.5)+(J104*0.5)</f>
        <v>0</v>
      </c>
      <c r="L104" s="4"/>
      <c r="M104" s="4">
        <f>((K104*0.7)+(L104*0.3))*0.7</f>
        <v>0</v>
      </c>
      <c r="N104" s="2"/>
      <c r="O104" s="5">
        <f>(H104*0.4)+(M104*0.6)</f>
        <v>0.89599999999999991</v>
      </c>
      <c r="P104" s="6" t="s">
        <v>5</v>
      </c>
    </row>
    <row r="105" spans="1:16" ht="15.75" customHeight="1" x14ac:dyDescent="0.25">
      <c r="A105" s="57">
        <v>104</v>
      </c>
      <c r="B105" s="43" t="s">
        <v>278</v>
      </c>
      <c r="C105" s="39">
        <v>8</v>
      </c>
      <c r="D105" s="34">
        <v>16</v>
      </c>
      <c r="E105" s="28"/>
      <c r="F105" s="10">
        <f>(D105*0.5)+(E105*0.5)</f>
        <v>8</v>
      </c>
      <c r="G105" s="7"/>
      <c r="H105" s="12">
        <f>((F105*0.7)+(G105*0.3))*0.4</f>
        <v>2.2399999999999998</v>
      </c>
      <c r="I105" s="3"/>
      <c r="J105" s="3"/>
      <c r="K105" s="3">
        <f>(I105*0.5)+(J105*0.5)</f>
        <v>0</v>
      </c>
      <c r="L105" s="4"/>
      <c r="M105" s="4">
        <f>((K105*0.7)+(L105*0.3))*0.7</f>
        <v>0</v>
      </c>
      <c r="N105" s="2"/>
      <c r="O105" s="5">
        <f>(H105*0.4)+(M105*0.6)</f>
        <v>0.89599999999999991</v>
      </c>
      <c r="P105" s="6" t="s">
        <v>5</v>
      </c>
    </row>
    <row r="106" spans="1:16" ht="15.75" customHeight="1" x14ac:dyDescent="0.25">
      <c r="A106" s="57">
        <v>105</v>
      </c>
      <c r="B106" s="43" t="s">
        <v>279</v>
      </c>
      <c r="C106" s="31" t="s">
        <v>56</v>
      </c>
      <c r="D106" s="35">
        <v>10</v>
      </c>
      <c r="E106" s="28"/>
      <c r="F106" s="10">
        <f>(D106*0.5)+(E106*0.5)</f>
        <v>5</v>
      </c>
      <c r="G106" s="7"/>
      <c r="H106" s="12">
        <f>((F106*0.7)+(G106*0.3))*0.4</f>
        <v>1.4000000000000001</v>
      </c>
      <c r="I106" s="3"/>
      <c r="J106" s="3"/>
      <c r="K106" s="3">
        <f>(I106*0.5)+(J106*0.5)</f>
        <v>0</v>
      </c>
      <c r="L106" s="4"/>
      <c r="M106" s="4">
        <f>((K106*0.7)+(L106*0.3))*0.7</f>
        <v>0</v>
      </c>
      <c r="N106" s="2"/>
      <c r="O106" s="5">
        <f>(H106*0.4)+(M106*0.6)</f>
        <v>0.56000000000000005</v>
      </c>
      <c r="P106" s="6" t="s">
        <v>5</v>
      </c>
    </row>
    <row r="107" spans="1:16" ht="15.75" customHeight="1" x14ac:dyDescent="0.25">
      <c r="A107" s="57">
        <v>106</v>
      </c>
      <c r="B107" s="52" t="s">
        <v>179</v>
      </c>
      <c r="C107" s="26">
        <v>14</v>
      </c>
      <c r="D107" s="11">
        <v>1</v>
      </c>
      <c r="E107" s="28"/>
      <c r="F107" s="10">
        <f>(D107*0.5)+(E107*0.5)</f>
        <v>0.5</v>
      </c>
      <c r="G107" s="7"/>
      <c r="H107" s="12">
        <f>((F107*0.7)+(G107*0.3))*0.4</f>
        <v>0.13999999999999999</v>
      </c>
      <c r="I107" s="3"/>
      <c r="J107" s="3"/>
      <c r="K107" s="3">
        <f>(I107*0.5)+(J107*0.5)</f>
        <v>0</v>
      </c>
      <c r="L107" s="4"/>
      <c r="M107" s="4">
        <f>((K107*0.7)+(L107*0.3))*0.7</f>
        <v>0</v>
      </c>
      <c r="N107" s="2"/>
      <c r="O107" s="5">
        <f>(H107*0.4)+(M107*0.6)</f>
        <v>5.5999999999999994E-2</v>
      </c>
      <c r="P107" s="6" t="s">
        <v>5</v>
      </c>
    </row>
    <row r="108" spans="1:16" ht="15.75" customHeight="1" x14ac:dyDescent="0.25">
      <c r="A108" s="57">
        <v>107</v>
      </c>
      <c r="B108" s="43" t="s">
        <v>280</v>
      </c>
      <c r="C108" s="31" t="s">
        <v>56</v>
      </c>
      <c r="D108" s="35">
        <v>7</v>
      </c>
      <c r="E108" s="28"/>
      <c r="F108" s="10">
        <f>(D108*0.5)+(E108*0.5)</f>
        <v>3.5</v>
      </c>
      <c r="G108" s="7"/>
      <c r="H108" s="12">
        <f>((F108*0.7)+(G108*0.3))*0.4</f>
        <v>0.98</v>
      </c>
      <c r="I108" s="3"/>
      <c r="J108" s="3"/>
      <c r="K108" s="3">
        <f>(I108*0.5)+(J108*0.5)</f>
        <v>0</v>
      </c>
      <c r="L108" s="4"/>
      <c r="M108" s="4">
        <f>((K108*0.7)+(L108*0.3))*0.7</f>
        <v>0</v>
      </c>
      <c r="N108" s="2"/>
      <c r="O108" s="5">
        <f>(H108*0.4)+(M108*0.6)</f>
        <v>0.39200000000000002</v>
      </c>
      <c r="P108" s="6" t="s">
        <v>5</v>
      </c>
    </row>
    <row r="109" spans="1:16" ht="15.75" customHeight="1" x14ac:dyDescent="0.25">
      <c r="A109" s="57">
        <v>108</v>
      </c>
      <c r="B109" s="52" t="s">
        <v>180</v>
      </c>
      <c r="C109" s="26">
        <v>20</v>
      </c>
      <c r="D109" s="9">
        <v>15</v>
      </c>
      <c r="E109" s="28"/>
      <c r="F109" s="10">
        <f>(D109*0.5)+(E109*0.5)</f>
        <v>7.5</v>
      </c>
      <c r="G109" s="7"/>
      <c r="H109" s="12">
        <f>((F109*0.7)+(G109*0.3))*0.4</f>
        <v>2.1</v>
      </c>
      <c r="I109" s="3"/>
      <c r="J109" s="3"/>
      <c r="K109" s="3">
        <f>(I109*0.5)+(J109*0.5)</f>
        <v>0</v>
      </c>
      <c r="L109" s="4"/>
      <c r="M109" s="4">
        <f>((K109*0.7)+(L109*0.3))*0.7</f>
        <v>0</v>
      </c>
      <c r="N109" s="2"/>
      <c r="O109" s="5">
        <f>(H109*0.4)+(M109*0.6)</f>
        <v>0.84000000000000008</v>
      </c>
      <c r="P109" s="6" t="s">
        <v>5</v>
      </c>
    </row>
    <row r="110" spans="1:16" ht="15.75" customHeight="1" x14ac:dyDescent="0.25">
      <c r="A110" s="57">
        <v>109</v>
      </c>
      <c r="B110" s="43" t="s">
        <v>239</v>
      </c>
      <c r="C110" s="31" t="s">
        <v>56</v>
      </c>
      <c r="D110" s="34">
        <v>14</v>
      </c>
      <c r="E110" s="28"/>
      <c r="F110" s="10">
        <f>(D110*0.5)+(E110*0.5)</f>
        <v>7</v>
      </c>
      <c r="G110" s="7"/>
      <c r="H110" s="12">
        <f>((F110*0.7)+(G110*0.3))*0.4</f>
        <v>1.96</v>
      </c>
      <c r="I110" s="3"/>
      <c r="J110" s="3"/>
      <c r="K110" s="3">
        <f>(I110*0.5)+(J110*0.5)</f>
        <v>0</v>
      </c>
      <c r="L110" s="4"/>
      <c r="M110" s="4">
        <f>((K110*0.7)+(L110*0.3))*0.7</f>
        <v>0</v>
      </c>
      <c r="N110" s="2"/>
      <c r="O110" s="5">
        <f>(H110*0.4)+(M110*0.6)</f>
        <v>0.78400000000000003</v>
      </c>
      <c r="P110" s="6" t="s">
        <v>5</v>
      </c>
    </row>
    <row r="111" spans="1:16" ht="15.75" customHeight="1" x14ac:dyDescent="0.25">
      <c r="A111" s="57">
        <v>110</v>
      </c>
      <c r="B111" s="43" t="s">
        <v>240</v>
      </c>
      <c r="C111" s="31">
        <v>12</v>
      </c>
      <c r="D111" s="34">
        <v>14</v>
      </c>
      <c r="E111" s="28"/>
      <c r="F111" s="10">
        <f>(D111*0.5)+(E111*0.5)</f>
        <v>7</v>
      </c>
      <c r="G111" s="7"/>
      <c r="H111" s="12">
        <f>((F111*0.7)+(G111*0.3))*0.4</f>
        <v>1.96</v>
      </c>
      <c r="I111" s="3"/>
      <c r="J111" s="3"/>
      <c r="K111" s="3">
        <f>(I111*0.5)+(J111*0.5)</f>
        <v>0</v>
      </c>
      <c r="L111" s="4"/>
      <c r="M111" s="4">
        <f>((K111*0.7)+(L111*0.3))*0.7</f>
        <v>0</v>
      </c>
      <c r="N111" s="2"/>
      <c r="O111" s="5">
        <f>(H111*0.4)+(M111*0.6)</f>
        <v>0.78400000000000003</v>
      </c>
      <c r="P111" s="6" t="s">
        <v>5</v>
      </c>
    </row>
    <row r="112" spans="1:16" ht="15.75" customHeight="1" x14ac:dyDescent="0.25">
      <c r="A112" s="57">
        <v>111</v>
      </c>
      <c r="B112" s="53" t="s">
        <v>137</v>
      </c>
      <c r="C112" s="26">
        <v>16</v>
      </c>
      <c r="D112" s="27">
        <v>16</v>
      </c>
      <c r="E112" s="28"/>
      <c r="F112" s="10">
        <f>(D112*0.5)+(E112*0.5)</f>
        <v>8</v>
      </c>
      <c r="G112" s="7"/>
      <c r="H112" s="12">
        <f>((F112*0.7)+(G112*0.3))*0.4</f>
        <v>2.2399999999999998</v>
      </c>
      <c r="I112" s="3"/>
      <c r="J112" s="3"/>
      <c r="K112" s="3">
        <f>(I112*0.5)+(J112*0.5)</f>
        <v>0</v>
      </c>
      <c r="L112" s="4"/>
      <c r="M112" s="4">
        <f>((K112*0.7)+(L112*0.3))*0.7</f>
        <v>0</v>
      </c>
      <c r="N112" s="2"/>
      <c r="O112" s="5">
        <f>(H112*0.4)+(M112*0.6)</f>
        <v>0.89599999999999991</v>
      </c>
      <c r="P112" s="6" t="s">
        <v>5</v>
      </c>
    </row>
    <row r="113" spans="1:16" ht="15.75" customHeight="1" x14ac:dyDescent="0.25">
      <c r="A113" s="57">
        <v>112</v>
      </c>
      <c r="B113" s="43" t="s">
        <v>281</v>
      </c>
      <c r="C113" s="31" t="s">
        <v>56</v>
      </c>
      <c r="D113" s="34">
        <v>13</v>
      </c>
      <c r="E113" s="28"/>
      <c r="F113" s="10">
        <f>(D113*0.5)+(E113*0.5)</f>
        <v>6.5</v>
      </c>
      <c r="G113" s="7"/>
      <c r="H113" s="12">
        <f>((F113*0.7)+(G113*0.3))*0.4</f>
        <v>1.82</v>
      </c>
      <c r="I113" s="3"/>
      <c r="J113" s="3"/>
      <c r="K113" s="3">
        <f>(I113*0.5)+(J113*0.5)</f>
        <v>0</v>
      </c>
      <c r="L113" s="4"/>
      <c r="M113" s="4">
        <f>((K113*0.7)+(L113*0.3))*0.7</f>
        <v>0</v>
      </c>
      <c r="N113" s="2"/>
      <c r="O113" s="5">
        <f>(H113*0.4)+(M113*0.6)</f>
        <v>0.72800000000000009</v>
      </c>
      <c r="P113" s="6" t="s">
        <v>5</v>
      </c>
    </row>
    <row r="114" spans="1:16" ht="15.75" customHeight="1" x14ac:dyDescent="0.25">
      <c r="A114" s="57">
        <v>113</v>
      </c>
      <c r="B114" s="43" t="s">
        <v>241</v>
      </c>
      <c r="C114" s="31" t="s">
        <v>56</v>
      </c>
      <c r="D114" s="34">
        <v>15</v>
      </c>
      <c r="E114" s="28"/>
      <c r="F114" s="10">
        <f>(D114*0.5)+(E114*0.5)</f>
        <v>7.5</v>
      </c>
      <c r="G114" s="7"/>
      <c r="H114" s="12">
        <f>((F114*0.7)+(G114*0.3))*0.4</f>
        <v>2.1</v>
      </c>
      <c r="I114" s="3"/>
      <c r="J114" s="3"/>
      <c r="K114" s="3">
        <f>(I114*0.5)+(J114*0.5)</f>
        <v>0</v>
      </c>
      <c r="L114" s="4"/>
      <c r="M114" s="4">
        <f>((K114*0.7)+(L114*0.3))*0.7</f>
        <v>0</v>
      </c>
      <c r="N114" s="2"/>
      <c r="O114" s="5">
        <f>(H114*0.4)+(M114*0.6)</f>
        <v>0.84000000000000008</v>
      </c>
      <c r="P114" s="6" t="s">
        <v>5</v>
      </c>
    </row>
    <row r="115" spans="1:16" ht="15.75" customHeight="1" x14ac:dyDescent="0.25">
      <c r="A115" s="57">
        <v>114</v>
      </c>
      <c r="B115" s="54" t="s">
        <v>138</v>
      </c>
      <c r="C115" s="26">
        <v>20</v>
      </c>
      <c r="D115" s="27">
        <v>19</v>
      </c>
      <c r="E115" s="28"/>
      <c r="F115" s="10">
        <f>(D115*0.5)+(E115*0.5)</f>
        <v>9.5</v>
      </c>
      <c r="G115" s="7"/>
      <c r="H115" s="12">
        <f>((F115*0.7)+(G115*0.3))*0.4</f>
        <v>2.66</v>
      </c>
      <c r="I115" s="3"/>
      <c r="J115" s="3"/>
      <c r="K115" s="3">
        <f>(I115*0.5)+(J115*0.5)</f>
        <v>0</v>
      </c>
      <c r="L115" s="4"/>
      <c r="M115" s="4">
        <f>((K115*0.7)+(L115*0.3))*0.7</f>
        <v>0</v>
      </c>
      <c r="N115" s="2"/>
      <c r="O115" s="5">
        <f>(H115*0.4)+(M115*0.6)</f>
        <v>1.0640000000000001</v>
      </c>
      <c r="P115" s="6" t="s">
        <v>5</v>
      </c>
    </row>
    <row r="116" spans="1:16" ht="15.75" customHeight="1" x14ac:dyDescent="0.25">
      <c r="A116" s="57">
        <v>115</v>
      </c>
      <c r="B116" s="54" t="s">
        <v>139</v>
      </c>
      <c r="C116" s="26">
        <v>20</v>
      </c>
      <c r="D116" s="27">
        <v>18</v>
      </c>
      <c r="E116" s="28"/>
      <c r="F116" s="10">
        <f>(D116*0.5)+(E116*0.5)</f>
        <v>9</v>
      </c>
      <c r="G116" s="7"/>
      <c r="H116" s="12">
        <f>((F116*0.7)+(G116*0.3))*0.4</f>
        <v>2.52</v>
      </c>
      <c r="I116" s="3"/>
      <c r="J116" s="3"/>
      <c r="K116" s="3">
        <f>(I116*0.5)+(J116*0.5)</f>
        <v>0</v>
      </c>
      <c r="L116" s="4"/>
      <c r="M116" s="4">
        <f>((K116*0.7)+(L116*0.3))*0.7</f>
        <v>0</v>
      </c>
      <c r="N116" s="2"/>
      <c r="O116" s="5">
        <f>(H116*0.4)+(M116*0.6)</f>
        <v>1.008</v>
      </c>
      <c r="P116" s="6" t="s">
        <v>5</v>
      </c>
    </row>
    <row r="117" spans="1:16" ht="15.75" customHeight="1" x14ac:dyDescent="0.25">
      <c r="A117" s="57">
        <v>116</v>
      </c>
      <c r="B117" s="43" t="s">
        <v>242</v>
      </c>
      <c r="C117" s="31" t="s">
        <v>56</v>
      </c>
      <c r="D117" s="34">
        <v>16</v>
      </c>
      <c r="E117" s="28"/>
      <c r="F117" s="10">
        <f>(D117*0.5)+(E117*0.5)</f>
        <v>8</v>
      </c>
      <c r="G117" s="7"/>
      <c r="H117" s="12">
        <f>((F117*0.7)+(G117*0.3))*0.4</f>
        <v>2.2399999999999998</v>
      </c>
      <c r="I117" s="3"/>
      <c r="J117" s="3"/>
      <c r="K117" s="3">
        <f>(I117*0.5)+(J117*0.5)</f>
        <v>0</v>
      </c>
      <c r="L117" s="4"/>
      <c r="M117" s="4">
        <f>((K117*0.7)+(L117*0.3))*0.7</f>
        <v>0</v>
      </c>
      <c r="N117" s="2"/>
      <c r="O117" s="5">
        <f>(H117*0.4)+(M117*0.6)</f>
        <v>0.89599999999999991</v>
      </c>
      <c r="P117" s="6" t="s">
        <v>5</v>
      </c>
    </row>
    <row r="118" spans="1:16" ht="15.75" customHeight="1" x14ac:dyDescent="0.25">
      <c r="A118" s="57">
        <v>117</v>
      </c>
      <c r="B118" s="52" t="s">
        <v>29</v>
      </c>
      <c r="C118" s="31">
        <v>12</v>
      </c>
      <c r="D118" s="9">
        <v>13</v>
      </c>
      <c r="E118" s="28"/>
      <c r="F118" s="10">
        <f>(D118*0.5)+(E118*0.5)</f>
        <v>6.5</v>
      </c>
      <c r="G118" s="7"/>
      <c r="H118" s="12">
        <f>((F118*0.7)+(G118*0.3))*0.4</f>
        <v>1.82</v>
      </c>
      <c r="I118" s="3"/>
      <c r="J118" s="3"/>
      <c r="K118" s="3">
        <f>(I118*0.5)+(J118*0.5)</f>
        <v>0</v>
      </c>
      <c r="L118" s="4"/>
      <c r="M118" s="4">
        <f>((K118*0.7)+(L118*0.3))*0.7</f>
        <v>0</v>
      </c>
      <c r="N118" s="2"/>
      <c r="O118" s="5">
        <f>(H118*0.4)+(M118*0.6)</f>
        <v>0.72800000000000009</v>
      </c>
      <c r="P118" s="6" t="s">
        <v>5</v>
      </c>
    </row>
    <row r="119" spans="1:16" ht="15.75" customHeight="1" x14ac:dyDescent="0.25">
      <c r="A119" s="57">
        <v>118</v>
      </c>
      <c r="B119" s="43" t="s">
        <v>282</v>
      </c>
      <c r="C119" s="31" t="s">
        <v>56</v>
      </c>
      <c r="D119" s="35">
        <v>10</v>
      </c>
      <c r="E119" s="28"/>
      <c r="F119" s="10">
        <f>(D119*0.5)+(E119*0.5)</f>
        <v>5</v>
      </c>
      <c r="G119" s="7"/>
      <c r="H119" s="12">
        <f>((F119*0.7)+(G119*0.3))*0.4</f>
        <v>1.4000000000000001</v>
      </c>
      <c r="I119" s="3"/>
      <c r="J119" s="3"/>
      <c r="K119" s="3">
        <f>(I119*0.5)+(J119*0.5)</f>
        <v>0</v>
      </c>
      <c r="L119" s="4"/>
      <c r="M119" s="4">
        <f>((K119*0.7)+(L119*0.3))*0.7</f>
        <v>0</v>
      </c>
      <c r="N119" s="2"/>
      <c r="O119" s="5">
        <f>(H119*0.4)+(M119*0.6)</f>
        <v>0.56000000000000005</v>
      </c>
      <c r="P119" s="6" t="s">
        <v>5</v>
      </c>
    </row>
    <row r="120" spans="1:16" ht="15.75" customHeight="1" x14ac:dyDescent="0.25">
      <c r="A120" s="57">
        <v>119</v>
      </c>
      <c r="B120" s="43" t="s">
        <v>243</v>
      </c>
      <c r="C120" s="31" t="s">
        <v>56</v>
      </c>
      <c r="D120" s="35">
        <v>7</v>
      </c>
      <c r="E120" s="28"/>
      <c r="F120" s="10">
        <f>(D120*0.5)+(E120*0.5)</f>
        <v>3.5</v>
      </c>
      <c r="G120" s="7"/>
      <c r="H120" s="12">
        <f>((F120*0.7)+(G120*0.3))*0.4</f>
        <v>0.98</v>
      </c>
      <c r="I120" s="3"/>
      <c r="J120" s="3"/>
      <c r="K120" s="3">
        <f>(I120*0.5)+(J120*0.5)</f>
        <v>0</v>
      </c>
      <c r="L120" s="4"/>
      <c r="M120" s="4">
        <f>((K120*0.7)+(L120*0.3))*0.7</f>
        <v>0</v>
      </c>
      <c r="N120" s="2"/>
      <c r="O120" s="5">
        <f>(H120*0.4)+(M120*0.6)</f>
        <v>0.39200000000000002</v>
      </c>
      <c r="P120" s="6" t="s">
        <v>5</v>
      </c>
    </row>
    <row r="121" spans="1:16" ht="15.75" customHeight="1" x14ac:dyDescent="0.25">
      <c r="A121" s="57">
        <v>120</v>
      </c>
      <c r="B121" s="53" t="s">
        <v>140</v>
      </c>
      <c r="C121" s="26">
        <v>14</v>
      </c>
      <c r="D121" s="27">
        <v>16</v>
      </c>
      <c r="E121" s="28"/>
      <c r="F121" s="10">
        <f>(D121*0.5)+(E121*0.5)</f>
        <v>8</v>
      </c>
      <c r="G121" s="7"/>
      <c r="H121" s="12">
        <f>((F121*0.7)+(G121*0.3))*0.4</f>
        <v>2.2399999999999998</v>
      </c>
      <c r="I121" s="3"/>
      <c r="J121" s="3"/>
      <c r="K121" s="3">
        <f>(I121*0.5)+(J121*0.5)</f>
        <v>0</v>
      </c>
      <c r="L121" s="4"/>
      <c r="M121" s="4">
        <f>((K121*0.7)+(L121*0.3))*0.7</f>
        <v>0</v>
      </c>
      <c r="N121" s="2"/>
      <c r="O121" s="5">
        <f>(H121*0.4)+(M121*0.6)</f>
        <v>0.89599999999999991</v>
      </c>
      <c r="P121" s="6" t="s">
        <v>5</v>
      </c>
    </row>
    <row r="122" spans="1:16" ht="15.75" customHeight="1" x14ac:dyDescent="0.25">
      <c r="A122" s="57">
        <v>121</v>
      </c>
      <c r="B122" s="53" t="s">
        <v>141</v>
      </c>
      <c r="C122" s="26" t="s">
        <v>56</v>
      </c>
      <c r="D122" s="27">
        <v>17</v>
      </c>
      <c r="E122" s="28"/>
      <c r="F122" s="10">
        <f>(D122*0.5)+(E122*0.5)</f>
        <v>8.5</v>
      </c>
      <c r="G122" s="7"/>
      <c r="H122" s="12">
        <f>((F122*0.7)+(G122*0.3))*0.4</f>
        <v>2.38</v>
      </c>
      <c r="I122" s="3"/>
      <c r="J122" s="3"/>
      <c r="K122" s="3">
        <f>(I122*0.5)+(J122*0.5)</f>
        <v>0</v>
      </c>
      <c r="L122" s="4"/>
      <c r="M122" s="4">
        <f>((K122*0.7)+(L122*0.3))*0.7</f>
        <v>0</v>
      </c>
      <c r="N122" s="2"/>
      <c r="O122" s="5">
        <f>(H122*0.4)+(M122*0.6)</f>
        <v>0.95199999999999996</v>
      </c>
      <c r="P122" s="6" t="s">
        <v>5</v>
      </c>
    </row>
    <row r="123" spans="1:16" ht="15.75" customHeight="1" x14ac:dyDescent="0.25">
      <c r="A123" s="57">
        <v>122</v>
      </c>
      <c r="B123" s="43" t="s">
        <v>244</v>
      </c>
      <c r="C123" s="31" t="s">
        <v>56</v>
      </c>
      <c r="D123" s="34">
        <v>14</v>
      </c>
      <c r="E123" s="28"/>
      <c r="F123" s="10">
        <f>(D123*0.5)+(E123*0.5)</f>
        <v>7</v>
      </c>
      <c r="G123" s="7"/>
      <c r="H123" s="12">
        <f>((F123*0.7)+(G123*0.3))*0.4</f>
        <v>1.96</v>
      </c>
      <c r="I123" s="3"/>
      <c r="J123" s="3"/>
      <c r="K123" s="3">
        <f>(I123*0.5)+(J123*0.5)</f>
        <v>0</v>
      </c>
      <c r="L123" s="4"/>
      <c r="M123" s="4">
        <f>((K123*0.7)+(L123*0.3))*0.7</f>
        <v>0</v>
      </c>
      <c r="N123" s="2"/>
      <c r="O123" s="5">
        <f>(H123*0.4)+(M123*0.6)</f>
        <v>0.78400000000000003</v>
      </c>
      <c r="P123" s="6" t="s">
        <v>5</v>
      </c>
    </row>
    <row r="124" spans="1:16" ht="15.75" customHeight="1" x14ac:dyDescent="0.25">
      <c r="A124" s="57">
        <v>123</v>
      </c>
      <c r="B124" s="54" t="s">
        <v>142</v>
      </c>
      <c r="C124" s="26">
        <v>18</v>
      </c>
      <c r="D124" s="27">
        <v>18</v>
      </c>
      <c r="E124" s="28"/>
      <c r="F124" s="10">
        <f>(D124*0.5)+(E124*0.5)</f>
        <v>9</v>
      </c>
      <c r="G124" s="7"/>
      <c r="H124" s="12">
        <f>((F124*0.7)+(G124*0.3))*0.4</f>
        <v>2.52</v>
      </c>
      <c r="I124" s="3"/>
      <c r="J124" s="3"/>
      <c r="K124" s="3">
        <f>(I124*0.5)+(J124*0.5)</f>
        <v>0</v>
      </c>
      <c r="L124" s="4"/>
      <c r="M124" s="4">
        <f>((K124*0.7)+(L124*0.3))*0.7</f>
        <v>0</v>
      </c>
      <c r="N124" s="2"/>
      <c r="O124" s="5">
        <f>(H124*0.4)+(M124*0.6)</f>
        <v>1.008</v>
      </c>
      <c r="P124" s="6" t="s">
        <v>5</v>
      </c>
    </row>
    <row r="125" spans="1:16" ht="15.75" customHeight="1" x14ac:dyDescent="0.25">
      <c r="A125" s="57">
        <v>124</v>
      </c>
      <c r="B125" s="52" t="s">
        <v>181</v>
      </c>
      <c r="C125" s="31" t="s">
        <v>56</v>
      </c>
      <c r="D125" s="9">
        <v>17</v>
      </c>
      <c r="E125" s="28"/>
      <c r="F125" s="10">
        <f>(D125*0.5)+(E125*0.5)</f>
        <v>8.5</v>
      </c>
      <c r="G125" s="7"/>
      <c r="H125" s="12">
        <f>((F125*0.7)+(G125*0.3))*0.4</f>
        <v>2.38</v>
      </c>
      <c r="I125" s="3"/>
      <c r="J125" s="3"/>
      <c r="K125" s="3">
        <f>(I125*0.5)+(J125*0.5)</f>
        <v>0</v>
      </c>
      <c r="L125" s="4"/>
      <c r="M125" s="4">
        <f>((K125*0.7)+(L125*0.3))*0.7</f>
        <v>0</v>
      </c>
      <c r="N125" s="2"/>
      <c r="O125" s="5">
        <f>(H125*0.4)+(M125*0.6)</f>
        <v>0.95199999999999996</v>
      </c>
      <c r="P125" s="6" t="s">
        <v>5</v>
      </c>
    </row>
    <row r="126" spans="1:16" ht="15.75" customHeight="1" x14ac:dyDescent="0.25">
      <c r="A126" s="57">
        <v>125</v>
      </c>
      <c r="B126" s="53" t="s">
        <v>143</v>
      </c>
      <c r="C126" s="26">
        <v>14</v>
      </c>
      <c r="D126" s="27">
        <v>18</v>
      </c>
      <c r="E126" s="28"/>
      <c r="F126" s="10">
        <f>(D126*0.5)+(E126*0.5)</f>
        <v>9</v>
      </c>
      <c r="G126" s="7"/>
      <c r="H126" s="12">
        <f>((F126*0.7)+(G126*0.3))*0.4</f>
        <v>2.52</v>
      </c>
      <c r="I126" s="3"/>
      <c r="J126" s="3"/>
      <c r="K126" s="3">
        <f>(I126*0.5)+(J126*0.5)</f>
        <v>0</v>
      </c>
      <c r="L126" s="4"/>
      <c r="M126" s="4">
        <f>((K126*0.7)+(L126*0.3))*0.7</f>
        <v>0</v>
      </c>
      <c r="N126" s="2"/>
      <c r="O126" s="5">
        <f>(H126*0.4)+(M126*0.6)</f>
        <v>1.008</v>
      </c>
      <c r="P126" s="6" t="s">
        <v>5</v>
      </c>
    </row>
    <row r="127" spans="1:16" ht="15.75" customHeight="1" x14ac:dyDescent="0.25">
      <c r="A127" s="57">
        <v>126</v>
      </c>
      <c r="B127" s="52" t="s">
        <v>30</v>
      </c>
      <c r="C127" s="31">
        <v>20</v>
      </c>
      <c r="D127" s="9">
        <v>16</v>
      </c>
      <c r="E127" s="28"/>
      <c r="F127" s="10">
        <f>(D127*0.5)+(E127*0.5)</f>
        <v>8</v>
      </c>
      <c r="G127" s="7"/>
      <c r="H127" s="12">
        <f>((F127*0.7)+(G127*0.3))*0.4</f>
        <v>2.2399999999999998</v>
      </c>
      <c r="I127" s="3"/>
      <c r="J127" s="3"/>
      <c r="K127" s="3">
        <f>(I127*0.5)+(J127*0.5)</f>
        <v>0</v>
      </c>
      <c r="L127" s="4"/>
      <c r="M127" s="4">
        <f>((K127*0.7)+(L127*0.3))*0.7</f>
        <v>0</v>
      </c>
      <c r="N127" s="2"/>
      <c r="O127" s="5">
        <f>(H127*0.4)+(M127*0.6)</f>
        <v>0.89599999999999991</v>
      </c>
      <c r="P127" s="6" t="s">
        <v>5</v>
      </c>
    </row>
    <row r="128" spans="1:16" ht="15.75" customHeight="1" x14ac:dyDescent="0.25">
      <c r="A128" s="57">
        <v>127</v>
      </c>
      <c r="B128" s="43" t="s">
        <v>283</v>
      </c>
      <c r="C128" s="39">
        <v>8</v>
      </c>
      <c r="D128" s="34">
        <v>16</v>
      </c>
      <c r="E128" s="28"/>
      <c r="F128" s="10">
        <f>(D128*0.5)+(E128*0.5)</f>
        <v>8</v>
      </c>
      <c r="G128" s="7"/>
      <c r="H128" s="12">
        <f>((F128*0.7)+(G128*0.3))*0.4</f>
        <v>2.2399999999999998</v>
      </c>
      <c r="I128" s="3"/>
      <c r="J128" s="3"/>
      <c r="K128" s="3">
        <f>(I128*0.5)+(J128*0.5)</f>
        <v>0</v>
      </c>
      <c r="L128" s="4"/>
      <c r="M128" s="4">
        <f>((K128*0.7)+(L128*0.3))*0.7</f>
        <v>0</v>
      </c>
      <c r="N128" s="2"/>
      <c r="O128" s="5">
        <f>(H128*0.4)+(M128*0.6)</f>
        <v>0.89599999999999991</v>
      </c>
      <c r="P128" s="6" t="s">
        <v>5</v>
      </c>
    </row>
    <row r="129" spans="1:16" ht="15.75" customHeight="1" x14ac:dyDescent="0.25">
      <c r="A129" s="57">
        <v>128</v>
      </c>
      <c r="B129" s="43" t="s">
        <v>245</v>
      </c>
      <c r="C129" s="31" t="s">
        <v>56</v>
      </c>
      <c r="D129" s="35">
        <v>9</v>
      </c>
      <c r="E129" s="28"/>
      <c r="F129" s="10">
        <f>(D129*0.5)+(E129*0.5)</f>
        <v>4.5</v>
      </c>
      <c r="G129" s="7"/>
      <c r="H129" s="12">
        <f>((F129*0.7)+(G129*0.3))*0.4</f>
        <v>1.26</v>
      </c>
      <c r="I129" s="3"/>
      <c r="J129" s="3"/>
      <c r="K129" s="3">
        <f>(I129*0.5)+(J129*0.5)</f>
        <v>0</v>
      </c>
      <c r="L129" s="4"/>
      <c r="M129" s="4">
        <f>((K129*0.7)+(L129*0.3))*0.7</f>
        <v>0</v>
      </c>
      <c r="N129" s="2"/>
      <c r="O129" s="5">
        <f>(H129*0.4)+(M129*0.6)</f>
        <v>0.504</v>
      </c>
      <c r="P129" s="6" t="s">
        <v>5</v>
      </c>
    </row>
    <row r="130" spans="1:16" ht="15.75" customHeight="1" x14ac:dyDescent="0.25">
      <c r="A130" s="57">
        <v>129</v>
      </c>
      <c r="B130" s="43" t="s">
        <v>246</v>
      </c>
      <c r="C130" s="31" t="s">
        <v>56</v>
      </c>
      <c r="D130" s="34">
        <v>16</v>
      </c>
      <c r="E130" s="28"/>
      <c r="F130" s="10">
        <f>(D130*0.5)+(E130*0.5)</f>
        <v>8</v>
      </c>
      <c r="G130" s="7"/>
      <c r="H130" s="12">
        <f>((F130*0.7)+(G130*0.3))*0.4</f>
        <v>2.2399999999999998</v>
      </c>
      <c r="I130" s="3"/>
      <c r="J130" s="3"/>
      <c r="K130" s="3">
        <f>(I130*0.5)+(J130*0.5)</f>
        <v>0</v>
      </c>
      <c r="L130" s="4"/>
      <c r="M130" s="4">
        <f>((K130*0.7)+(L130*0.3))*0.7</f>
        <v>0</v>
      </c>
      <c r="N130" s="2"/>
      <c r="O130" s="5">
        <f>(H130*0.4)+(M130*0.6)</f>
        <v>0.89599999999999991</v>
      </c>
      <c r="P130" s="6" t="s">
        <v>5</v>
      </c>
    </row>
    <row r="131" spans="1:16" ht="15.75" customHeight="1" x14ac:dyDescent="0.25">
      <c r="A131" s="57">
        <v>130</v>
      </c>
      <c r="B131" s="52" t="s">
        <v>31</v>
      </c>
      <c r="C131" s="31">
        <v>14</v>
      </c>
      <c r="D131" s="9">
        <v>13</v>
      </c>
      <c r="E131" s="28"/>
      <c r="F131" s="10">
        <f>(D131*0.5)+(E131*0.5)</f>
        <v>6.5</v>
      </c>
      <c r="G131" s="7"/>
      <c r="H131" s="12">
        <f>((F131*0.7)+(G131*0.3))*0.4</f>
        <v>1.82</v>
      </c>
      <c r="I131" s="3"/>
      <c r="J131" s="3"/>
      <c r="K131" s="3">
        <f>(I131*0.5)+(J131*0.5)</f>
        <v>0</v>
      </c>
      <c r="L131" s="4"/>
      <c r="M131" s="4">
        <f>((K131*0.7)+(L131*0.3))*0.7</f>
        <v>0</v>
      </c>
      <c r="N131" s="2"/>
      <c r="O131" s="5">
        <f>(H131*0.4)+(M131*0.6)</f>
        <v>0.72800000000000009</v>
      </c>
      <c r="P131" s="6" t="s">
        <v>5</v>
      </c>
    </row>
    <row r="132" spans="1:16" ht="15.75" customHeight="1" x14ac:dyDescent="0.25">
      <c r="A132" s="57">
        <v>131</v>
      </c>
      <c r="B132" s="43" t="s">
        <v>247</v>
      </c>
      <c r="C132" s="31" t="s">
        <v>56</v>
      </c>
      <c r="D132" s="34">
        <v>13</v>
      </c>
      <c r="E132" s="28"/>
      <c r="F132" s="10">
        <f>(D132*0.5)+(E132*0.5)</f>
        <v>6.5</v>
      </c>
      <c r="G132" s="7"/>
      <c r="H132" s="12">
        <f>((F132*0.7)+(G132*0.3))*0.4</f>
        <v>1.82</v>
      </c>
      <c r="I132" s="3"/>
      <c r="J132" s="3"/>
      <c r="K132" s="3">
        <f>(I132*0.5)+(J132*0.5)</f>
        <v>0</v>
      </c>
      <c r="L132" s="4"/>
      <c r="M132" s="4">
        <f>((K132*0.7)+(L132*0.3))*0.7</f>
        <v>0</v>
      </c>
      <c r="N132" s="2"/>
      <c r="O132" s="5">
        <f>(H132*0.4)+(M132*0.6)</f>
        <v>0.72800000000000009</v>
      </c>
      <c r="P132" s="6" t="s">
        <v>5</v>
      </c>
    </row>
    <row r="133" spans="1:16" ht="15.75" customHeight="1" x14ac:dyDescent="0.25">
      <c r="A133" s="57">
        <v>132</v>
      </c>
      <c r="B133" s="52" t="s">
        <v>182</v>
      </c>
      <c r="C133" s="26">
        <v>18</v>
      </c>
      <c r="D133" s="9">
        <v>15</v>
      </c>
      <c r="E133" s="28"/>
      <c r="F133" s="10">
        <f>(D133*0.5)+(E133*0.5)</f>
        <v>7.5</v>
      </c>
      <c r="G133" s="7"/>
      <c r="H133" s="12">
        <f>((F133*0.7)+(G133*0.3))*0.4</f>
        <v>2.1</v>
      </c>
      <c r="I133" s="3"/>
      <c r="J133" s="3"/>
      <c r="K133" s="3">
        <f>(I133*0.5)+(J133*0.5)</f>
        <v>0</v>
      </c>
      <c r="L133" s="4"/>
      <c r="M133" s="4">
        <f>((K133*0.7)+(L133*0.3))*0.7</f>
        <v>0</v>
      </c>
      <c r="N133" s="2"/>
      <c r="O133" s="5">
        <f>(H133*0.4)+(M133*0.6)</f>
        <v>0.84000000000000008</v>
      </c>
      <c r="P133" s="6" t="s">
        <v>5</v>
      </c>
    </row>
    <row r="134" spans="1:16" ht="15.75" customHeight="1" x14ac:dyDescent="0.25">
      <c r="A134" s="57">
        <v>133</v>
      </c>
      <c r="B134" s="43" t="s">
        <v>248</v>
      </c>
      <c r="C134" s="31" t="s">
        <v>56</v>
      </c>
      <c r="D134" s="34">
        <v>18</v>
      </c>
      <c r="E134" s="28"/>
      <c r="F134" s="10">
        <f>(D134*0.5)+(E134*0.5)</f>
        <v>9</v>
      </c>
      <c r="G134" s="7"/>
      <c r="H134" s="12">
        <f>((F134*0.7)+(G134*0.3))*0.4</f>
        <v>2.52</v>
      </c>
      <c r="I134" s="3"/>
      <c r="J134" s="3"/>
      <c r="K134" s="3">
        <f>(I134*0.5)+(J134*0.5)</f>
        <v>0</v>
      </c>
      <c r="L134" s="4"/>
      <c r="M134" s="4">
        <f>((K134*0.7)+(L134*0.3))*0.7</f>
        <v>0</v>
      </c>
      <c r="N134" s="2"/>
      <c r="O134" s="5">
        <f>(H134*0.4)+(M134*0.6)</f>
        <v>1.008</v>
      </c>
      <c r="P134" s="6" t="s">
        <v>5</v>
      </c>
    </row>
    <row r="135" spans="1:16" ht="15.75" customHeight="1" x14ac:dyDescent="0.25">
      <c r="A135" s="57">
        <v>134</v>
      </c>
      <c r="B135" s="52" t="s">
        <v>183</v>
      </c>
      <c r="C135" s="26">
        <v>18</v>
      </c>
      <c r="D135" s="9">
        <v>17</v>
      </c>
      <c r="E135" s="28"/>
      <c r="F135" s="10">
        <f>(D135*0.5)+(E135*0.5)</f>
        <v>8.5</v>
      </c>
      <c r="G135" s="7"/>
      <c r="H135" s="12">
        <f>((F135*0.7)+(G135*0.3))*0.4</f>
        <v>2.38</v>
      </c>
      <c r="I135" s="3"/>
      <c r="J135" s="3"/>
      <c r="K135" s="3">
        <f>(I135*0.5)+(J135*0.5)</f>
        <v>0</v>
      </c>
      <c r="L135" s="4"/>
      <c r="M135" s="4">
        <f>((K135*0.7)+(L135*0.3))*0.7</f>
        <v>0</v>
      </c>
      <c r="N135" s="2"/>
      <c r="O135" s="5">
        <f>(H135*0.4)+(M135*0.6)</f>
        <v>0.95199999999999996</v>
      </c>
      <c r="P135" s="6" t="s">
        <v>5</v>
      </c>
    </row>
    <row r="136" spans="1:16" ht="15.75" customHeight="1" x14ac:dyDescent="0.25">
      <c r="A136" s="57">
        <v>135</v>
      </c>
      <c r="B136" s="52" t="s">
        <v>184</v>
      </c>
      <c r="C136" s="31" t="s">
        <v>56</v>
      </c>
      <c r="D136" s="11">
        <v>8</v>
      </c>
      <c r="E136" s="28"/>
      <c r="F136" s="10">
        <f>(D136*0.5)+(E136*0.5)</f>
        <v>4</v>
      </c>
      <c r="G136" s="7"/>
      <c r="H136" s="12">
        <f>((F136*0.7)+(G136*0.3))*0.4</f>
        <v>1.1199999999999999</v>
      </c>
      <c r="I136" s="3"/>
      <c r="J136" s="3"/>
      <c r="K136" s="3">
        <f>(I136*0.5)+(J136*0.5)</f>
        <v>0</v>
      </c>
      <c r="L136" s="4"/>
      <c r="M136" s="4">
        <f>((K136*0.7)+(L136*0.3))*0.7</f>
        <v>0</v>
      </c>
      <c r="N136" s="2"/>
      <c r="O136" s="5">
        <f>(H136*0.4)+(M136*0.6)</f>
        <v>0.44799999999999995</v>
      </c>
      <c r="P136" s="6" t="s">
        <v>5</v>
      </c>
    </row>
    <row r="137" spans="1:16" ht="15.75" customHeight="1" x14ac:dyDescent="0.25">
      <c r="A137" s="57">
        <v>136</v>
      </c>
      <c r="B137" s="52" t="s">
        <v>185</v>
      </c>
      <c r="C137" s="26">
        <v>12</v>
      </c>
      <c r="D137" s="9">
        <v>14</v>
      </c>
      <c r="E137" s="28"/>
      <c r="F137" s="10">
        <f>(D137*0.5)+(E137*0.5)</f>
        <v>7</v>
      </c>
      <c r="G137" s="7"/>
      <c r="H137" s="12">
        <f>((F137*0.7)+(G137*0.3))*0.4</f>
        <v>1.96</v>
      </c>
      <c r="I137" s="3"/>
      <c r="J137" s="3"/>
      <c r="K137" s="3">
        <f>(I137*0.5)+(J137*0.5)</f>
        <v>0</v>
      </c>
      <c r="L137" s="4"/>
      <c r="M137" s="4">
        <f>((K137*0.7)+(L137*0.3))*0.7</f>
        <v>0</v>
      </c>
      <c r="N137" s="2"/>
      <c r="O137" s="5">
        <f>(H137*0.4)+(M137*0.6)</f>
        <v>0.78400000000000003</v>
      </c>
      <c r="P137" s="6" t="s">
        <v>5</v>
      </c>
    </row>
    <row r="138" spans="1:16" ht="15.75" customHeight="1" x14ac:dyDescent="0.25">
      <c r="A138" s="57">
        <v>137</v>
      </c>
      <c r="B138" s="43" t="s">
        <v>284</v>
      </c>
      <c r="C138" s="39">
        <v>8</v>
      </c>
      <c r="D138" s="34">
        <v>14</v>
      </c>
      <c r="E138" s="28"/>
      <c r="F138" s="10">
        <f>(D138*0.5)+(E138*0.5)</f>
        <v>7</v>
      </c>
      <c r="G138" s="7"/>
      <c r="H138" s="12">
        <f>((F138*0.7)+(G138*0.3))*0.4</f>
        <v>1.96</v>
      </c>
      <c r="I138" s="3"/>
      <c r="J138" s="3"/>
      <c r="K138" s="3">
        <f>(I138*0.5)+(J138*0.5)</f>
        <v>0</v>
      </c>
      <c r="L138" s="4"/>
      <c r="M138" s="4">
        <f>((K138*0.7)+(L138*0.3))*0.7</f>
        <v>0</v>
      </c>
      <c r="N138" s="2"/>
      <c r="O138" s="5">
        <f>(H138*0.4)+(M138*0.6)</f>
        <v>0.78400000000000003</v>
      </c>
      <c r="P138" s="6" t="s">
        <v>5</v>
      </c>
    </row>
    <row r="139" spans="1:16" ht="15.75" customHeight="1" x14ac:dyDescent="0.25">
      <c r="A139" s="57">
        <v>138</v>
      </c>
      <c r="B139" s="55" t="s">
        <v>144</v>
      </c>
      <c r="C139" s="38">
        <v>18</v>
      </c>
      <c r="D139" s="27">
        <v>14</v>
      </c>
      <c r="E139" s="10"/>
      <c r="F139" s="10">
        <f>(D139*0.5)+(E139*0.5)</f>
        <v>7</v>
      </c>
      <c r="G139" s="7"/>
      <c r="H139" s="12">
        <f>((F139*0.7)+(G139*0.3))*0.4</f>
        <v>1.96</v>
      </c>
      <c r="I139" s="3"/>
      <c r="J139" s="3"/>
      <c r="K139" s="3">
        <f>(I139*0.5)+(J139*0.5)</f>
        <v>0</v>
      </c>
      <c r="L139" s="4"/>
      <c r="M139" s="4">
        <f>((K139*0.7)+(L139*0.3))*0.7</f>
        <v>0</v>
      </c>
      <c r="N139" s="2"/>
      <c r="O139" s="5">
        <f>(H139*0.4)+(M139*0.6)</f>
        <v>0.78400000000000003</v>
      </c>
      <c r="P139" s="6" t="s">
        <v>5</v>
      </c>
    </row>
    <row r="140" spans="1:16" ht="15.75" customHeight="1" x14ac:dyDescent="0.25">
      <c r="A140" s="57">
        <v>139</v>
      </c>
      <c r="B140" s="48" t="s">
        <v>32</v>
      </c>
      <c r="C140" s="8">
        <v>20</v>
      </c>
      <c r="D140" s="9">
        <v>14</v>
      </c>
      <c r="E140" s="10"/>
      <c r="F140" s="10">
        <f>(D140*0.5)+(E140*0.5)</f>
        <v>7</v>
      </c>
      <c r="G140" s="7"/>
      <c r="H140" s="12">
        <f>((F140*0.7)+(G140*0.3))*0.4</f>
        <v>1.96</v>
      </c>
      <c r="I140" s="3"/>
      <c r="J140" s="3"/>
      <c r="K140" s="3">
        <f>(I140*0.5)+(J140*0.5)</f>
        <v>0</v>
      </c>
      <c r="L140" s="4"/>
      <c r="M140" s="4">
        <f>((K140*0.7)+(L140*0.3))*0.7</f>
        <v>0</v>
      </c>
      <c r="N140" s="2"/>
      <c r="O140" s="5">
        <f>(H140*0.4)+(M140*0.6)</f>
        <v>0.78400000000000003</v>
      </c>
      <c r="P140" s="6" t="s">
        <v>5</v>
      </c>
    </row>
    <row r="141" spans="1:16" ht="15.75" customHeight="1" x14ac:dyDescent="0.25">
      <c r="A141" s="57">
        <v>140</v>
      </c>
      <c r="B141" s="44" t="s">
        <v>249</v>
      </c>
      <c r="C141" s="8" t="s">
        <v>56</v>
      </c>
      <c r="D141" s="34">
        <v>15</v>
      </c>
      <c r="E141" s="10"/>
      <c r="F141" s="10">
        <f>(D141*0.5)+(E141*0.5)</f>
        <v>7.5</v>
      </c>
      <c r="G141" s="7"/>
      <c r="H141" s="12">
        <f>((F141*0.7)+(G141*0.3))*0.4</f>
        <v>2.1</v>
      </c>
      <c r="I141" s="3"/>
      <c r="J141" s="3"/>
      <c r="K141" s="3">
        <f>(I141*0.5)+(J141*0.5)</f>
        <v>0</v>
      </c>
      <c r="L141" s="4"/>
      <c r="M141" s="4">
        <f>((K141*0.7)+(L141*0.3))*0.7</f>
        <v>0</v>
      </c>
      <c r="N141" s="2"/>
      <c r="O141" s="5">
        <f>(H141*0.4)+(M141*0.6)</f>
        <v>0.84000000000000008</v>
      </c>
      <c r="P141" s="6" t="s">
        <v>5</v>
      </c>
    </row>
    <row r="142" spans="1:16" ht="15.75" customHeight="1" x14ac:dyDescent="0.25">
      <c r="A142" s="57">
        <v>141</v>
      </c>
      <c r="B142" s="48" t="s">
        <v>33</v>
      </c>
      <c r="C142" s="8">
        <v>20</v>
      </c>
      <c r="D142" s="9">
        <v>15</v>
      </c>
      <c r="E142" s="10"/>
      <c r="F142" s="10">
        <f>(D142*0.5)+(E142*0.5)</f>
        <v>7.5</v>
      </c>
      <c r="G142" s="7"/>
      <c r="H142" s="12">
        <f>((F142*0.7)+(G142*0.3))*0.4</f>
        <v>2.1</v>
      </c>
      <c r="I142" s="3"/>
      <c r="J142" s="3"/>
      <c r="K142" s="3">
        <f>(I142*0.5)+(J142*0.5)</f>
        <v>0</v>
      </c>
      <c r="L142" s="4"/>
      <c r="M142" s="4">
        <f>((K142*0.7)+(L142*0.3))*0.7</f>
        <v>0</v>
      </c>
      <c r="N142" s="2"/>
      <c r="O142" s="5">
        <f>(H142*0.4)+(M142*0.6)</f>
        <v>0.84000000000000008</v>
      </c>
      <c r="P142" s="6" t="s">
        <v>5</v>
      </c>
    </row>
    <row r="143" spans="1:16" ht="15.75" customHeight="1" x14ac:dyDescent="0.25">
      <c r="A143" s="57">
        <v>142</v>
      </c>
      <c r="B143" s="48" t="s">
        <v>34</v>
      </c>
      <c r="C143" s="8">
        <v>16</v>
      </c>
      <c r="D143" s="9">
        <v>18</v>
      </c>
      <c r="E143" s="10"/>
      <c r="F143" s="10">
        <f>(D143*0.5)+(E143*0.5)</f>
        <v>9</v>
      </c>
      <c r="G143" s="7"/>
      <c r="H143" s="12">
        <f>((F143*0.7)+(G143*0.3))*0.4</f>
        <v>2.52</v>
      </c>
      <c r="I143" s="3"/>
      <c r="J143" s="3"/>
      <c r="K143" s="3">
        <f>(I143*0.5)+(J143*0.5)</f>
        <v>0</v>
      </c>
      <c r="L143" s="4"/>
      <c r="M143" s="4">
        <f>((K143*0.7)+(L143*0.3))*0.7</f>
        <v>0</v>
      </c>
      <c r="N143" s="2"/>
      <c r="O143" s="5">
        <f>(H143*0.4)+(M143*0.6)</f>
        <v>1.008</v>
      </c>
      <c r="P143" s="6" t="s">
        <v>5</v>
      </c>
    </row>
    <row r="144" spans="1:16" ht="15.75" customHeight="1" x14ac:dyDescent="0.25">
      <c r="A144" s="57">
        <v>143</v>
      </c>
      <c r="B144" s="48" t="s">
        <v>35</v>
      </c>
      <c r="C144" s="8">
        <v>20</v>
      </c>
      <c r="D144" s="9">
        <v>16</v>
      </c>
      <c r="E144" s="10"/>
      <c r="F144" s="10">
        <f>(D144*0.5)+(E144*0.5)</f>
        <v>8</v>
      </c>
      <c r="G144" s="7"/>
      <c r="H144" s="12">
        <f>((F144*0.7)+(G144*0.3))*0.4</f>
        <v>2.2399999999999998</v>
      </c>
      <c r="I144" s="3"/>
      <c r="J144" s="3"/>
      <c r="K144" s="3">
        <f>(I144*0.5)+(J144*0.5)</f>
        <v>0</v>
      </c>
      <c r="L144" s="4"/>
      <c r="M144" s="4">
        <f>((K144*0.7)+(L144*0.3))*0.7</f>
        <v>0</v>
      </c>
      <c r="N144" s="2"/>
      <c r="O144" s="5">
        <f>(H144*0.4)+(M144*0.6)</f>
        <v>0.89599999999999991</v>
      </c>
      <c r="P144" s="6" t="s">
        <v>5</v>
      </c>
    </row>
    <row r="145" spans="1:16" ht="15.75" customHeight="1" x14ac:dyDescent="0.25">
      <c r="A145" s="57">
        <v>144</v>
      </c>
      <c r="B145" s="44" t="s">
        <v>250</v>
      </c>
      <c r="C145" s="8">
        <v>12</v>
      </c>
      <c r="D145" s="35">
        <v>4</v>
      </c>
      <c r="E145" s="10"/>
      <c r="F145" s="10">
        <f>(D145*0.5)+(E145*0.5)</f>
        <v>2</v>
      </c>
      <c r="G145" s="7"/>
      <c r="H145" s="12">
        <f>((F145*0.7)+(G145*0.3))*0.4</f>
        <v>0.55999999999999994</v>
      </c>
      <c r="I145" s="3"/>
      <c r="J145" s="3"/>
      <c r="K145" s="3">
        <f>(I145*0.5)+(J145*0.5)</f>
        <v>0</v>
      </c>
      <c r="L145" s="4"/>
      <c r="M145" s="4">
        <f>((K145*0.7)+(L145*0.3))*0.7</f>
        <v>0</v>
      </c>
      <c r="N145" s="2"/>
      <c r="O145" s="5">
        <f>(H145*0.4)+(M145*0.6)</f>
        <v>0.22399999999999998</v>
      </c>
      <c r="P145" s="6" t="s">
        <v>5</v>
      </c>
    </row>
    <row r="146" spans="1:16" ht="15.75" customHeight="1" x14ac:dyDescent="0.25">
      <c r="A146" s="57">
        <v>145</v>
      </c>
      <c r="B146" s="48" t="s">
        <v>186</v>
      </c>
      <c r="C146" s="38">
        <v>14</v>
      </c>
      <c r="D146" s="9">
        <v>18</v>
      </c>
      <c r="E146" s="10"/>
      <c r="F146" s="10">
        <f>(D146*0.5)+(E146*0.5)</f>
        <v>9</v>
      </c>
      <c r="G146" s="7"/>
      <c r="H146" s="12">
        <f>((F146*0.7)+(G146*0.3))*0.4</f>
        <v>2.52</v>
      </c>
      <c r="I146" s="3"/>
      <c r="J146" s="3"/>
      <c r="K146" s="3">
        <f>(I146*0.5)+(J146*0.5)</f>
        <v>0</v>
      </c>
      <c r="L146" s="4"/>
      <c r="M146" s="4">
        <f>((K146*0.7)+(L146*0.3))*0.7</f>
        <v>0</v>
      </c>
      <c r="N146" s="2"/>
      <c r="O146" s="5">
        <f>(H146*0.4)+(M146*0.6)</f>
        <v>1.008</v>
      </c>
      <c r="P146" s="6" t="s">
        <v>5</v>
      </c>
    </row>
    <row r="147" spans="1:16" ht="15.75" customHeight="1" x14ac:dyDescent="0.25">
      <c r="A147" s="57">
        <v>146</v>
      </c>
      <c r="B147" s="48" t="s">
        <v>36</v>
      </c>
      <c r="C147" s="8">
        <v>12</v>
      </c>
      <c r="D147" s="9">
        <v>11</v>
      </c>
      <c r="E147" s="10"/>
      <c r="F147" s="10">
        <f>(D147*0.5)+(E147*0.5)</f>
        <v>5.5</v>
      </c>
      <c r="G147" s="7"/>
      <c r="H147" s="12">
        <f>((F147*0.7)+(G147*0.3))*0.4</f>
        <v>1.54</v>
      </c>
      <c r="I147" s="3"/>
      <c r="J147" s="3"/>
      <c r="K147" s="3">
        <f>(I147*0.5)+(J147*0.5)</f>
        <v>0</v>
      </c>
      <c r="L147" s="4"/>
      <c r="M147" s="4">
        <f>((K147*0.7)+(L147*0.3))*0.7</f>
        <v>0</v>
      </c>
      <c r="N147" s="2"/>
      <c r="O147" s="5">
        <f>(H147*0.4)+(M147*0.6)</f>
        <v>0.6160000000000001</v>
      </c>
      <c r="P147" s="6" t="s">
        <v>5</v>
      </c>
    </row>
    <row r="148" spans="1:16" ht="15.75" customHeight="1" x14ac:dyDescent="0.25">
      <c r="A148" s="57">
        <v>147</v>
      </c>
      <c r="B148" s="48" t="s">
        <v>37</v>
      </c>
      <c r="C148" s="8">
        <v>16</v>
      </c>
      <c r="D148" s="9">
        <v>14</v>
      </c>
      <c r="E148" s="10"/>
      <c r="F148" s="10">
        <f>(D148*0.5)+(E148*0.5)</f>
        <v>7</v>
      </c>
      <c r="G148" s="7"/>
      <c r="H148" s="12">
        <f>((F148*0.7)+(G148*0.3))*0.4</f>
        <v>1.96</v>
      </c>
      <c r="I148" s="3"/>
      <c r="J148" s="3"/>
      <c r="K148" s="3">
        <f>(I148*0.5)+(J148*0.5)</f>
        <v>0</v>
      </c>
      <c r="L148" s="4"/>
      <c r="M148" s="4">
        <f>((K148*0.7)+(L148*0.3))*0.7</f>
        <v>0</v>
      </c>
      <c r="N148" s="2"/>
      <c r="O148" s="5">
        <f>(H148*0.4)+(M148*0.6)</f>
        <v>0.78400000000000003</v>
      </c>
      <c r="P148" s="6" t="s">
        <v>5</v>
      </c>
    </row>
    <row r="149" spans="1:16" ht="15.75" customHeight="1" x14ac:dyDescent="0.25">
      <c r="A149" s="57">
        <v>148</v>
      </c>
      <c r="B149" s="44" t="s">
        <v>212</v>
      </c>
      <c r="C149" s="8" t="s">
        <v>56</v>
      </c>
      <c r="D149" s="32">
        <v>9</v>
      </c>
      <c r="E149" s="10"/>
      <c r="F149" s="10">
        <f>(D149*0.5)+(E149*0.5)</f>
        <v>4.5</v>
      </c>
      <c r="G149" s="7"/>
      <c r="H149" s="12">
        <f>((F149*0.7)+(G149*0.3))*0.4</f>
        <v>1.26</v>
      </c>
      <c r="I149" s="3"/>
      <c r="J149" s="3"/>
      <c r="K149" s="3">
        <f>(I149*0.5)+(J149*0.5)</f>
        <v>0</v>
      </c>
      <c r="L149" s="4"/>
      <c r="M149" s="4">
        <f>((K149*0.7)+(L149*0.3))*0.7</f>
        <v>0</v>
      </c>
      <c r="N149" s="2"/>
      <c r="O149" s="5">
        <f>(H149*0.4)+(M149*0.6)</f>
        <v>0.504</v>
      </c>
      <c r="P149" s="6" t="s">
        <v>5</v>
      </c>
    </row>
    <row r="150" spans="1:16" ht="15.75" customHeight="1" x14ac:dyDescent="0.25">
      <c r="A150" s="57">
        <v>149</v>
      </c>
      <c r="B150" s="56" t="s">
        <v>145</v>
      </c>
      <c r="C150" s="38">
        <v>18</v>
      </c>
      <c r="D150" s="27">
        <v>16</v>
      </c>
      <c r="E150" s="10"/>
      <c r="F150" s="10">
        <f>(D150*0.5)+(E150*0.5)</f>
        <v>8</v>
      </c>
      <c r="G150" s="7"/>
      <c r="H150" s="12">
        <f>((F150*0.7)+(G150*0.3))*0.4</f>
        <v>2.2399999999999998</v>
      </c>
      <c r="I150" s="3"/>
      <c r="J150" s="3"/>
      <c r="K150" s="3">
        <f>(I150*0.5)+(J150*0.5)</f>
        <v>0</v>
      </c>
      <c r="L150" s="4"/>
      <c r="M150" s="4">
        <f>((K150*0.7)+(L150*0.3))*0.7</f>
        <v>0</v>
      </c>
      <c r="N150" s="2"/>
      <c r="O150" s="5">
        <f>(H150*0.4)+(M150*0.6)</f>
        <v>0.89599999999999991</v>
      </c>
      <c r="P150" s="6" t="s">
        <v>5</v>
      </c>
    </row>
    <row r="151" spans="1:16" ht="15.75" customHeight="1" x14ac:dyDescent="0.25">
      <c r="A151" s="57">
        <v>150</v>
      </c>
      <c r="B151" s="48" t="s">
        <v>187</v>
      </c>
      <c r="C151" s="38">
        <v>10</v>
      </c>
      <c r="D151" s="9">
        <v>12</v>
      </c>
      <c r="E151" s="10"/>
      <c r="F151" s="10">
        <f>(D151*0.5)+(E151*0.5)</f>
        <v>6</v>
      </c>
      <c r="G151" s="7"/>
      <c r="H151" s="12">
        <f>((F151*0.7)+(G151*0.3))*0.4</f>
        <v>1.6799999999999997</v>
      </c>
      <c r="I151" s="3"/>
      <c r="J151" s="3"/>
      <c r="K151" s="3">
        <f>(I151*0.5)+(J151*0.5)</f>
        <v>0</v>
      </c>
      <c r="L151" s="4"/>
      <c r="M151" s="4">
        <f>((K151*0.7)+(L151*0.3))*0.7</f>
        <v>0</v>
      </c>
      <c r="N151" s="2"/>
      <c r="O151" s="5">
        <f>(H151*0.4)+(M151*0.6)</f>
        <v>0.67199999999999993</v>
      </c>
      <c r="P151" s="6" t="s">
        <v>5</v>
      </c>
    </row>
    <row r="152" spans="1:16" ht="15.75" customHeight="1" x14ac:dyDescent="0.25">
      <c r="A152" s="57">
        <v>151</v>
      </c>
      <c r="B152" s="44" t="s">
        <v>285</v>
      </c>
      <c r="C152" s="8" t="s">
        <v>56</v>
      </c>
      <c r="D152" s="34">
        <v>16</v>
      </c>
      <c r="E152" s="10"/>
      <c r="F152" s="10">
        <f>(D152*0.5)+(E152*0.5)</f>
        <v>8</v>
      </c>
      <c r="G152" s="7"/>
      <c r="H152" s="12">
        <f>((F152*0.7)+(G152*0.3))*0.4</f>
        <v>2.2399999999999998</v>
      </c>
      <c r="I152" s="3"/>
      <c r="J152" s="3"/>
      <c r="K152" s="3">
        <f>(I152*0.5)+(J152*0.5)</f>
        <v>0</v>
      </c>
      <c r="L152" s="4"/>
      <c r="M152" s="4">
        <f>((K152*0.7)+(L152*0.3))*0.7</f>
        <v>0</v>
      </c>
      <c r="N152" s="2"/>
      <c r="O152" s="5">
        <f>(H152*0.4)+(M152*0.6)</f>
        <v>0.89599999999999991</v>
      </c>
      <c r="P152" s="6" t="s">
        <v>5</v>
      </c>
    </row>
    <row r="153" spans="1:16" ht="15.75" customHeight="1" x14ac:dyDescent="0.25">
      <c r="A153" s="57">
        <v>152</v>
      </c>
      <c r="B153" s="48" t="s">
        <v>188</v>
      </c>
      <c r="C153" s="38">
        <v>10</v>
      </c>
      <c r="D153" s="11">
        <v>8</v>
      </c>
      <c r="E153" s="10"/>
      <c r="F153" s="10">
        <f>(D153*0.5)+(E153*0.5)</f>
        <v>4</v>
      </c>
      <c r="G153" s="7"/>
      <c r="H153" s="12">
        <f>((F153*0.7)+(G153*0.3))*0.4</f>
        <v>1.1199999999999999</v>
      </c>
      <c r="I153" s="3"/>
      <c r="J153" s="3"/>
      <c r="K153" s="3">
        <f>(I153*0.5)+(J153*0.5)</f>
        <v>0</v>
      </c>
      <c r="L153" s="4"/>
      <c r="M153" s="4">
        <f>((K153*0.7)+(L153*0.3))*0.7</f>
        <v>0</v>
      </c>
      <c r="N153" s="2"/>
      <c r="O153" s="5">
        <f>(H153*0.4)+(M153*0.6)</f>
        <v>0.44799999999999995</v>
      </c>
      <c r="P153" s="6" t="s">
        <v>5</v>
      </c>
    </row>
    <row r="154" spans="1:16" ht="15.75" customHeight="1" x14ac:dyDescent="0.25">
      <c r="A154" s="57">
        <v>153</v>
      </c>
      <c r="B154" s="48" t="s">
        <v>38</v>
      </c>
      <c r="C154" s="8">
        <v>20</v>
      </c>
      <c r="D154" s="9">
        <v>15</v>
      </c>
      <c r="E154" s="10"/>
      <c r="F154" s="10">
        <f>(D154*0.5)+(E154*0.5)</f>
        <v>7.5</v>
      </c>
      <c r="G154" s="7"/>
      <c r="H154" s="12">
        <f>((F154*0.7)+(G154*0.3))*0.4</f>
        <v>2.1</v>
      </c>
      <c r="I154" s="3"/>
      <c r="J154" s="3"/>
      <c r="K154" s="3">
        <f>(I154*0.5)+(J154*0.5)</f>
        <v>0</v>
      </c>
      <c r="L154" s="4"/>
      <c r="M154" s="4">
        <f>((K154*0.7)+(L154*0.3))*0.7</f>
        <v>0</v>
      </c>
      <c r="N154" s="2"/>
      <c r="O154" s="5">
        <f>(H154*0.4)+(M154*0.6)</f>
        <v>0.84000000000000008</v>
      </c>
      <c r="P154" s="6" t="s">
        <v>5</v>
      </c>
    </row>
    <row r="155" spans="1:16" ht="15.75" customHeight="1" x14ac:dyDescent="0.25">
      <c r="A155" s="57">
        <v>154</v>
      </c>
      <c r="B155" s="48" t="s">
        <v>189</v>
      </c>
      <c r="C155" s="37">
        <v>18</v>
      </c>
      <c r="D155" s="9">
        <v>16</v>
      </c>
      <c r="E155" s="28"/>
      <c r="F155" s="10">
        <f>(D155*0.5)+(E155*0.5)</f>
        <v>8</v>
      </c>
      <c r="G155" s="7"/>
      <c r="H155" s="12">
        <f>((F155*0.7)+(G155*0.3))*0.4</f>
        <v>2.2399999999999998</v>
      </c>
      <c r="I155" s="3"/>
      <c r="J155" s="3"/>
      <c r="K155" s="3">
        <f>(I155*0.5)+(J155*0.5)</f>
        <v>0</v>
      </c>
      <c r="L155" s="4"/>
      <c r="M155" s="4">
        <f>((K155*0.7)+(L155*0.3))*0.7</f>
        <v>0</v>
      </c>
      <c r="N155" s="2"/>
      <c r="O155" s="5">
        <f>(H155*0.4)+(M155*0.6)</f>
        <v>0.89599999999999991</v>
      </c>
      <c r="P155" s="6" t="s">
        <v>5</v>
      </c>
    </row>
    <row r="156" spans="1:16" ht="15.75" customHeight="1" x14ac:dyDescent="0.25">
      <c r="A156" s="57">
        <v>155</v>
      </c>
      <c r="B156" s="44" t="s">
        <v>213</v>
      </c>
      <c r="C156" s="33">
        <v>14</v>
      </c>
      <c r="D156" s="32">
        <v>9</v>
      </c>
      <c r="E156" s="28"/>
      <c r="F156" s="10">
        <f>(D156*0.5)+(E156*0.5)</f>
        <v>4.5</v>
      </c>
      <c r="G156" s="7"/>
      <c r="H156" s="12">
        <f>((F156*0.7)+(G156*0.3))*0.4</f>
        <v>1.26</v>
      </c>
      <c r="I156" s="3"/>
      <c r="J156" s="3"/>
      <c r="K156" s="3">
        <f>(I156*0.5)+(J156*0.5)</f>
        <v>0</v>
      </c>
      <c r="L156" s="4"/>
      <c r="M156" s="4">
        <f>((K156*0.7)+(L156*0.3))*0.7</f>
        <v>0</v>
      </c>
      <c r="N156" s="2"/>
      <c r="O156" s="5">
        <f>(H156*0.4)+(M156*0.6)</f>
        <v>0.504</v>
      </c>
      <c r="P156" s="6" t="s">
        <v>5</v>
      </c>
    </row>
    <row r="157" spans="1:16" ht="15.75" customHeight="1" x14ac:dyDescent="0.25">
      <c r="A157" s="57">
        <v>156</v>
      </c>
      <c r="B157" s="44" t="s">
        <v>251</v>
      </c>
      <c r="C157" s="33" t="s">
        <v>56</v>
      </c>
      <c r="D157" s="35">
        <v>2</v>
      </c>
      <c r="E157" s="28"/>
      <c r="F157" s="10">
        <f>(D157*0.5)+(E157*0.5)</f>
        <v>1</v>
      </c>
      <c r="G157" s="7"/>
      <c r="H157" s="12">
        <f>((F157*0.7)+(G157*0.3))*0.4</f>
        <v>0.27999999999999997</v>
      </c>
      <c r="I157" s="3"/>
      <c r="J157" s="3"/>
      <c r="K157" s="3">
        <f>(I157*0.5)+(J157*0.5)</f>
        <v>0</v>
      </c>
      <c r="L157" s="4"/>
      <c r="M157" s="4">
        <f>((K157*0.7)+(L157*0.3))*0.7</f>
        <v>0</v>
      </c>
      <c r="N157" s="2"/>
      <c r="O157" s="5">
        <f>(H157*0.4)+(M157*0.6)</f>
        <v>0.11199999999999999</v>
      </c>
      <c r="P157" s="6" t="s">
        <v>5</v>
      </c>
    </row>
    <row r="158" spans="1:16" ht="15.75" customHeight="1" x14ac:dyDescent="0.25">
      <c r="A158" s="57">
        <v>157</v>
      </c>
      <c r="B158" s="44" t="s">
        <v>214</v>
      </c>
      <c r="C158" s="33">
        <v>8</v>
      </c>
      <c r="D158" s="9">
        <v>18</v>
      </c>
      <c r="E158" s="28"/>
      <c r="F158" s="10">
        <f>(D158*0.5)+(E158*0.5)</f>
        <v>9</v>
      </c>
      <c r="G158" s="7"/>
      <c r="H158" s="12">
        <f>((F158*0.7)+(G158*0.3))*0.4</f>
        <v>2.52</v>
      </c>
      <c r="I158" s="3"/>
      <c r="J158" s="3"/>
      <c r="K158" s="3">
        <f>(I158*0.5)+(J158*0.5)</f>
        <v>0</v>
      </c>
      <c r="L158" s="4"/>
      <c r="M158" s="4">
        <f>((K158*0.7)+(L158*0.3))*0.7</f>
        <v>0</v>
      </c>
      <c r="N158" s="2"/>
      <c r="O158" s="5">
        <f>(H158*0.4)+(M158*0.6)</f>
        <v>1.008</v>
      </c>
      <c r="P158" s="6" t="s">
        <v>5</v>
      </c>
    </row>
    <row r="159" spans="1:16" ht="15.75" customHeight="1" x14ac:dyDescent="0.25">
      <c r="A159" s="57">
        <v>158</v>
      </c>
      <c r="B159" s="44" t="s">
        <v>252</v>
      </c>
      <c r="C159" s="33" t="s">
        <v>56</v>
      </c>
      <c r="D159" s="34">
        <v>13</v>
      </c>
      <c r="E159" s="28"/>
      <c r="F159" s="10">
        <f>(D159*0.5)+(E159*0.5)</f>
        <v>6.5</v>
      </c>
      <c r="G159" s="7"/>
      <c r="H159" s="12">
        <f>((F159*0.7)+(G159*0.3))*0.4</f>
        <v>1.82</v>
      </c>
      <c r="I159" s="3"/>
      <c r="J159" s="3"/>
      <c r="K159" s="3">
        <f>(I159*0.5)+(J159*0.5)</f>
        <v>0</v>
      </c>
      <c r="L159" s="4"/>
      <c r="M159" s="4">
        <f>((K159*0.7)+(L159*0.3))*0.7</f>
        <v>0</v>
      </c>
      <c r="N159" s="2"/>
      <c r="O159" s="5">
        <f>(H159*0.4)+(M159*0.6)</f>
        <v>0.72800000000000009</v>
      </c>
      <c r="P159" s="6" t="s">
        <v>5</v>
      </c>
    </row>
    <row r="160" spans="1:16" ht="15.75" customHeight="1" x14ac:dyDescent="0.25">
      <c r="A160" s="57">
        <v>159</v>
      </c>
      <c r="B160" s="55" t="s">
        <v>146</v>
      </c>
      <c r="C160" s="37" t="s">
        <v>56</v>
      </c>
      <c r="D160" s="27">
        <v>19</v>
      </c>
      <c r="E160" s="28"/>
      <c r="F160" s="10">
        <f>(D160*0.5)+(E160*0.5)</f>
        <v>9.5</v>
      </c>
      <c r="G160" s="7"/>
      <c r="H160" s="12">
        <f>((F160*0.7)+(G160*0.3))*0.4</f>
        <v>2.66</v>
      </c>
      <c r="I160" s="3"/>
      <c r="J160" s="3"/>
      <c r="K160" s="3">
        <f>(I160*0.5)+(J160*0.5)</f>
        <v>0</v>
      </c>
      <c r="L160" s="4"/>
      <c r="M160" s="4">
        <f>((K160*0.7)+(L160*0.3))*0.7</f>
        <v>0</v>
      </c>
      <c r="N160" s="2"/>
      <c r="O160" s="5">
        <f>(H160*0.4)+(M160*0.6)</f>
        <v>1.0640000000000001</v>
      </c>
      <c r="P160" s="6" t="s">
        <v>5</v>
      </c>
    </row>
    <row r="161" spans="1:16" ht="15.75" customHeight="1" x14ac:dyDescent="0.25">
      <c r="A161" s="57">
        <v>160</v>
      </c>
      <c r="B161" s="44" t="s">
        <v>253</v>
      </c>
      <c r="C161" s="33" t="s">
        <v>56</v>
      </c>
      <c r="D161" s="34">
        <v>17</v>
      </c>
      <c r="E161" s="28"/>
      <c r="F161" s="10">
        <f>(D161*0.5)+(E161*0.5)</f>
        <v>8.5</v>
      </c>
      <c r="G161" s="7"/>
      <c r="H161" s="12">
        <f>((F161*0.7)+(G161*0.3))*0.4</f>
        <v>2.38</v>
      </c>
      <c r="I161" s="3"/>
      <c r="J161" s="3"/>
      <c r="K161" s="3">
        <f>(I161*0.5)+(J161*0.5)</f>
        <v>0</v>
      </c>
      <c r="L161" s="4"/>
      <c r="M161" s="4">
        <f>((K161*0.7)+(L161*0.3))*0.7</f>
        <v>0</v>
      </c>
      <c r="N161" s="2"/>
      <c r="O161" s="5">
        <f>(H161*0.4)+(M161*0.6)</f>
        <v>0.95199999999999996</v>
      </c>
      <c r="P161" s="6" t="s">
        <v>5</v>
      </c>
    </row>
    <row r="162" spans="1:16" ht="15.75" customHeight="1" x14ac:dyDescent="0.25">
      <c r="A162" s="57">
        <v>161</v>
      </c>
      <c r="B162" s="44" t="s">
        <v>254</v>
      </c>
      <c r="C162" s="33" t="s">
        <v>56</v>
      </c>
      <c r="D162" s="34">
        <v>14</v>
      </c>
      <c r="E162" s="28"/>
      <c r="F162" s="10">
        <f>(D162*0.5)+(E162*0.5)</f>
        <v>7</v>
      </c>
      <c r="G162" s="7"/>
      <c r="H162" s="12">
        <f>((F162*0.7)+(G162*0.3))*0.4</f>
        <v>1.96</v>
      </c>
      <c r="I162" s="3"/>
      <c r="J162" s="3"/>
      <c r="K162" s="3">
        <f>(I162*0.5)+(J162*0.5)</f>
        <v>0</v>
      </c>
      <c r="L162" s="4"/>
      <c r="M162" s="4">
        <f>((K162*0.7)+(L162*0.3))*0.7</f>
        <v>0</v>
      </c>
      <c r="N162" s="2"/>
      <c r="O162" s="5">
        <f>(H162*0.4)+(M162*0.6)</f>
        <v>0.78400000000000003</v>
      </c>
      <c r="P162" s="6" t="s">
        <v>5</v>
      </c>
    </row>
    <row r="163" spans="1:16" ht="15.75" customHeight="1" x14ac:dyDescent="0.25">
      <c r="A163" s="57">
        <v>162</v>
      </c>
      <c r="B163" s="55" t="s">
        <v>147</v>
      </c>
      <c r="C163" s="37">
        <v>10</v>
      </c>
      <c r="D163" s="27">
        <v>17</v>
      </c>
      <c r="E163" s="28"/>
      <c r="F163" s="10">
        <f>(D163*0.5)+(E163*0.5)</f>
        <v>8.5</v>
      </c>
      <c r="G163" s="7"/>
      <c r="H163" s="12">
        <f>((F163*0.7)+(G163*0.3))*0.4</f>
        <v>2.38</v>
      </c>
      <c r="I163" s="3"/>
      <c r="J163" s="3"/>
      <c r="K163" s="3">
        <f>(I163*0.5)+(J163*0.5)</f>
        <v>0</v>
      </c>
      <c r="L163" s="4"/>
      <c r="M163" s="4">
        <f>((K163*0.7)+(L163*0.3))*0.7</f>
        <v>0</v>
      </c>
      <c r="N163" s="2"/>
      <c r="O163" s="5">
        <f>(H163*0.4)+(M163*0.6)</f>
        <v>0.95199999999999996</v>
      </c>
      <c r="P163" s="6" t="s">
        <v>5</v>
      </c>
    </row>
    <row r="164" spans="1:16" ht="15.75" customHeight="1" x14ac:dyDescent="0.25">
      <c r="A164" s="57">
        <v>163</v>
      </c>
      <c r="B164" s="55" t="s">
        <v>148</v>
      </c>
      <c r="C164" s="37">
        <v>20</v>
      </c>
      <c r="D164" s="27">
        <v>18</v>
      </c>
      <c r="E164" s="28"/>
      <c r="F164" s="10">
        <f>(D164*0.5)+(E164*0.5)</f>
        <v>9</v>
      </c>
      <c r="G164" s="7"/>
      <c r="H164" s="12">
        <f>((F164*0.7)+(G164*0.3))*0.4</f>
        <v>2.52</v>
      </c>
      <c r="I164" s="3"/>
      <c r="J164" s="3"/>
      <c r="K164" s="3">
        <f>(I164*0.5)+(J164*0.5)</f>
        <v>0</v>
      </c>
      <c r="L164" s="4"/>
      <c r="M164" s="4">
        <f>((K164*0.7)+(L164*0.3))*0.7</f>
        <v>0</v>
      </c>
      <c r="N164" s="2"/>
      <c r="O164" s="5">
        <f>(H164*0.4)+(M164*0.6)</f>
        <v>1.008</v>
      </c>
      <c r="P164" s="6" t="s">
        <v>5</v>
      </c>
    </row>
    <row r="165" spans="1:16" ht="15.75" customHeight="1" x14ac:dyDescent="0.25">
      <c r="A165" s="57">
        <v>164</v>
      </c>
      <c r="B165" s="48" t="s">
        <v>190</v>
      </c>
      <c r="C165" s="33" t="s">
        <v>56</v>
      </c>
      <c r="D165" s="9">
        <v>14</v>
      </c>
      <c r="E165" s="28"/>
      <c r="F165" s="10">
        <f>(D165*0.5)+(E165*0.5)</f>
        <v>7</v>
      </c>
      <c r="G165" s="7"/>
      <c r="H165" s="12">
        <f>((F165*0.7)+(G165*0.3))*0.4</f>
        <v>1.96</v>
      </c>
      <c r="I165" s="3"/>
      <c r="J165" s="3"/>
      <c r="K165" s="3">
        <f>(I165*0.5)+(J165*0.5)</f>
        <v>0</v>
      </c>
      <c r="L165" s="4"/>
      <c r="M165" s="4">
        <f>((K165*0.7)+(L165*0.3))*0.7</f>
        <v>0</v>
      </c>
      <c r="N165" s="2"/>
      <c r="O165" s="5">
        <f>(H165*0.4)+(M165*0.6)</f>
        <v>0.78400000000000003</v>
      </c>
      <c r="P165" s="6" t="s">
        <v>5</v>
      </c>
    </row>
    <row r="166" spans="1:16" ht="15.75" customHeight="1" x14ac:dyDescent="0.25">
      <c r="A166" s="57">
        <v>165</v>
      </c>
      <c r="B166" s="48" t="s">
        <v>149</v>
      </c>
      <c r="C166" s="37" t="s">
        <v>56</v>
      </c>
      <c r="D166" s="27">
        <v>11</v>
      </c>
      <c r="E166" s="28"/>
      <c r="F166" s="10">
        <f>(D166*0.5)+(E166*0.5)</f>
        <v>5.5</v>
      </c>
      <c r="G166" s="7"/>
      <c r="H166" s="12">
        <f>((F166*0.7)+(G166*0.3))*0.4</f>
        <v>1.54</v>
      </c>
      <c r="I166" s="3"/>
      <c r="J166" s="3"/>
      <c r="K166" s="3">
        <f>(I166*0.5)+(J166*0.5)</f>
        <v>0</v>
      </c>
      <c r="L166" s="4"/>
      <c r="M166" s="4">
        <f>((K166*0.7)+(L166*0.3))*0.7</f>
        <v>0</v>
      </c>
      <c r="N166" s="2"/>
      <c r="O166" s="5">
        <f>(H166*0.4)+(M166*0.6)</f>
        <v>0.6160000000000001</v>
      </c>
      <c r="P166" s="6" t="s">
        <v>5</v>
      </c>
    </row>
    <row r="167" spans="1:16" ht="15.75" customHeight="1" x14ac:dyDescent="0.25">
      <c r="A167" s="57">
        <v>166</v>
      </c>
      <c r="B167" s="44" t="s">
        <v>255</v>
      </c>
      <c r="C167" s="33">
        <v>20</v>
      </c>
      <c r="D167" s="34">
        <v>10</v>
      </c>
      <c r="E167" s="28"/>
      <c r="F167" s="10">
        <f>(D167*0.5)+(E167*0.5)</f>
        <v>5</v>
      </c>
      <c r="G167" s="7"/>
      <c r="H167" s="12">
        <f>((F167*0.7)+(G167*0.3))*0.4</f>
        <v>1.4000000000000001</v>
      </c>
      <c r="I167" s="3"/>
      <c r="J167" s="3"/>
      <c r="K167" s="3">
        <f>(I167*0.5)+(J167*0.5)</f>
        <v>0</v>
      </c>
      <c r="L167" s="4"/>
      <c r="M167" s="4">
        <f>((K167*0.7)+(L167*0.3))*0.7</f>
        <v>0</v>
      </c>
      <c r="N167" s="2"/>
      <c r="O167" s="5">
        <f>(H167*0.4)+(M167*0.6)</f>
        <v>0.56000000000000005</v>
      </c>
      <c r="P167" s="6" t="s">
        <v>5</v>
      </c>
    </row>
    <row r="168" spans="1:16" ht="15.75" customHeight="1" x14ac:dyDescent="0.25">
      <c r="A168" s="57">
        <v>167</v>
      </c>
      <c r="B168" s="48" t="s">
        <v>39</v>
      </c>
      <c r="C168" s="33">
        <v>14</v>
      </c>
      <c r="D168" s="11">
        <v>8</v>
      </c>
      <c r="E168" s="28"/>
      <c r="F168" s="10">
        <f>(D168*0.5)+(E168*0.5)</f>
        <v>4</v>
      </c>
      <c r="G168" s="7"/>
      <c r="H168" s="12">
        <f>((F168*0.7)+(G168*0.3))*0.4</f>
        <v>1.1199999999999999</v>
      </c>
      <c r="I168" s="3"/>
      <c r="J168" s="3"/>
      <c r="K168" s="3">
        <f>(I168*0.5)+(J168*0.5)</f>
        <v>0</v>
      </c>
      <c r="L168" s="4"/>
      <c r="M168" s="4">
        <f>((K168*0.7)+(L168*0.3))*0.7</f>
        <v>0</v>
      </c>
      <c r="N168" s="2"/>
      <c r="O168" s="5">
        <f>(H168*0.4)+(M168*0.6)</f>
        <v>0.44799999999999995</v>
      </c>
      <c r="P168" s="6" t="s">
        <v>5</v>
      </c>
    </row>
    <row r="169" spans="1:16" ht="15.75" customHeight="1" x14ac:dyDescent="0.25">
      <c r="A169" s="57">
        <v>168</v>
      </c>
      <c r="B169" s="48" t="s">
        <v>40</v>
      </c>
      <c r="C169" s="33">
        <v>20</v>
      </c>
      <c r="D169" s="9">
        <v>17</v>
      </c>
      <c r="E169" s="28"/>
      <c r="F169" s="10">
        <f>(D169*0.5)+(E169*0.5)</f>
        <v>8.5</v>
      </c>
      <c r="G169" s="7"/>
      <c r="H169" s="12">
        <f>((F169*0.7)+(G169*0.3))*0.4</f>
        <v>2.38</v>
      </c>
      <c r="I169" s="3"/>
      <c r="J169" s="3"/>
      <c r="K169" s="3">
        <f>(I169*0.5)+(J169*0.5)</f>
        <v>0</v>
      </c>
      <c r="L169" s="4"/>
      <c r="M169" s="4">
        <f>((K169*0.7)+(L169*0.3))*0.7</f>
        <v>0</v>
      </c>
      <c r="N169" s="2"/>
      <c r="O169" s="5">
        <f>(H169*0.4)+(M169*0.6)</f>
        <v>0.95199999999999996</v>
      </c>
      <c r="P169" s="6" t="s">
        <v>5</v>
      </c>
    </row>
    <row r="170" spans="1:16" ht="15.75" customHeight="1" x14ac:dyDescent="0.25">
      <c r="A170" s="57">
        <v>169</v>
      </c>
      <c r="B170" s="48" t="s">
        <v>191</v>
      </c>
      <c r="C170" s="37">
        <v>16</v>
      </c>
      <c r="D170" s="9">
        <v>16</v>
      </c>
      <c r="E170" s="28"/>
      <c r="F170" s="10">
        <f>(D170*0.5)+(E170*0.5)</f>
        <v>8</v>
      </c>
      <c r="G170" s="7"/>
      <c r="H170" s="12">
        <f>((F170*0.7)+(G170*0.3))*0.4</f>
        <v>2.2399999999999998</v>
      </c>
      <c r="I170" s="3"/>
      <c r="J170" s="3"/>
      <c r="K170" s="3">
        <f>(I170*0.5)+(J170*0.5)</f>
        <v>0</v>
      </c>
      <c r="L170" s="4"/>
      <c r="M170" s="4">
        <f>((K170*0.7)+(L170*0.3))*0.7</f>
        <v>0</v>
      </c>
      <c r="N170" s="2"/>
      <c r="O170" s="5">
        <f>(H170*0.4)+(M170*0.6)</f>
        <v>0.89599999999999991</v>
      </c>
      <c r="P170" s="6" t="s">
        <v>5</v>
      </c>
    </row>
    <row r="171" spans="1:16" ht="15.75" customHeight="1" x14ac:dyDescent="0.25">
      <c r="A171" s="57">
        <v>170</v>
      </c>
      <c r="B171" s="48" t="s">
        <v>41</v>
      </c>
      <c r="C171" s="33">
        <v>18</v>
      </c>
      <c r="D171" s="9">
        <v>15</v>
      </c>
      <c r="E171" s="28"/>
      <c r="F171" s="10">
        <f>(D171*0.5)+(E171*0.5)</f>
        <v>7.5</v>
      </c>
      <c r="G171" s="7"/>
      <c r="H171" s="12">
        <f>((F171*0.7)+(G171*0.3))*0.4</f>
        <v>2.1</v>
      </c>
      <c r="I171" s="3"/>
      <c r="J171" s="3"/>
      <c r="K171" s="3">
        <f>(I171*0.5)+(J171*0.5)</f>
        <v>0</v>
      </c>
      <c r="L171" s="4"/>
      <c r="M171" s="4">
        <f>((K171*0.7)+(L171*0.3))*0.7</f>
        <v>0</v>
      </c>
      <c r="N171" s="2"/>
      <c r="O171" s="5">
        <f>(H171*0.4)+(M171*0.6)</f>
        <v>0.84000000000000008</v>
      </c>
      <c r="P171" s="6" t="s">
        <v>5</v>
      </c>
    </row>
    <row r="172" spans="1:16" ht="15.75" customHeight="1" x14ac:dyDescent="0.25">
      <c r="A172" s="57">
        <v>171</v>
      </c>
      <c r="B172" s="56" t="s">
        <v>150</v>
      </c>
      <c r="C172" s="37">
        <v>20</v>
      </c>
      <c r="D172" s="27">
        <v>17</v>
      </c>
      <c r="E172" s="28"/>
      <c r="F172" s="10">
        <f>(D172*0.5)+(E172*0.5)</f>
        <v>8.5</v>
      </c>
      <c r="G172" s="7"/>
      <c r="H172" s="12">
        <f>((F172*0.7)+(G172*0.3))*0.4</f>
        <v>2.38</v>
      </c>
      <c r="I172" s="3"/>
      <c r="J172" s="3"/>
      <c r="K172" s="3">
        <f>(I172*0.5)+(J172*0.5)</f>
        <v>0</v>
      </c>
      <c r="L172" s="4"/>
      <c r="M172" s="4">
        <f>((K172*0.7)+(L172*0.3))*0.7</f>
        <v>0</v>
      </c>
      <c r="N172" s="2"/>
      <c r="O172" s="5">
        <f>(H172*0.4)+(M172*0.6)</f>
        <v>0.95199999999999996</v>
      </c>
      <c r="P172" s="6" t="s">
        <v>5</v>
      </c>
    </row>
    <row r="173" spans="1:16" ht="15.75" customHeight="1" x14ac:dyDescent="0.25">
      <c r="A173" s="57">
        <v>172</v>
      </c>
      <c r="B173" s="48" t="s">
        <v>42</v>
      </c>
      <c r="C173" s="33">
        <v>10</v>
      </c>
      <c r="D173" s="9">
        <v>12</v>
      </c>
      <c r="E173" s="28"/>
      <c r="F173" s="10">
        <f>(D173*0.5)+(E173*0.5)</f>
        <v>6</v>
      </c>
      <c r="G173" s="7"/>
      <c r="H173" s="12">
        <f>((F173*0.7)+(G173*0.3))*0.4</f>
        <v>1.6799999999999997</v>
      </c>
      <c r="I173" s="3"/>
      <c r="J173" s="3"/>
      <c r="K173" s="3">
        <f>(I173*0.5)+(J173*0.5)</f>
        <v>0</v>
      </c>
      <c r="L173" s="4"/>
      <c r="M173" s="4">
        <f>((K173*0.7)+(L173*0.3))*0.7</f>
        <v>0</v>
      </c>
      <c r="N173" s="2"/>
      <c r="O173" s="5">
        <f>(H173*0.4)+(M173*0.6)</f>
        <v>0.67199999999999993</v>
      </c>
      <c r="P173" s="6" t="s">
        <v>5</v>
      </c>
    </row>
    <row r="174" spans="1:16" ht="15.75" customHeight="1" x14ac:dyDescent="0.25">
      <c r="A174" s="57">
        <v>173</v>
      </c>
      <c r="B174" s="55" t="s">
        <v>151</v>
      </c>
      <c r="C174" s="37">
        <v>20</v>
      </c>
      <c r="D174" s="27">
        <v>15</v>
      </c>
      <c r="E174" s="28"/>
      <c r="F174" s="10">
        <f>(D174*0.5)+(E174*0.5)</f>
        <v>7.5</v>
      </c>
      <c r="G174" s="7"/>
      <c r="H174" s="12">
        <f>((F174*0.7)+(G174*0.3))*0.4</f>
        <v>2.1</v>
      </c>
      <c r="I174" s="3"/>
      <c r="J174" s="3"/>
      <c r="K174" s="3">
        <f>(I174*0.5)+(J174*0.5)</f>
        <v>0</v>
      </c>
      <c r="L174" s="4"/>
      <c r="M174" s="4">
        <f>((K174*0.7)+(L174*0.3))*0.7</f>
        <v>0</v>
      </c>
      <c r="N174" s="2"/>
      <c r="O174" s="5">
        <f>(H174*0.4)+(M174*0.6)</f>
        <v>0.84000000000000008</v>
      </c>
      <c r="P174" s="6" t="s">
        <v>5</v>
      </c>
    </row>
    <row r="175" spans="1:16" ht="15.75" customHeight="1" x14ac:dyDescent="0.25">
      <c r="A175" s="57">
        <v>174</v>
      </c>
      <c r="B175" s="55" t="s">
        <v>152</v>
      </c>
      <c r="C175" s="37" t="s">
        <v>56</v>
      </c>
      <c r="D175" s="27">
        <v>16</v>
      </c>
      <c r="E175" s="28"/>
      <c r="F175" s="10">
        <f>(D175*0.5)+(E175*0.5)</f>
        <v>8</v>
      </c>
      <c r="G175" s="7"/>
      <c r="H175" s="12">
        <f>((F175*0.7)+(G175*0.3))*0.4</f>
        <v>2.2399999999999998</v>
      </c>
      <c r="I175" s="3"/>
      <c r="J175" s="3"/>
      <c r="K175" s="3">
        <f>(I175*0.5)+(J175*0.5)</f>
        <v>0</v>
      </c>
      <c r="L175" s="4"/>
      <c r="M175" s="4">
        <f>((K175*0.7)+(L175*0.3))*0.7</f>
        <v>0</v>
      </c>
      <c r="N175" s="2"/>
      <c r="O175" s="5">
        <f>(H175*0.4)+(M175*0.6)</f>
        <v>0.89599999999999991</v>
      </c>
      <c r="P175" s="6" t="s">
        <v>5</v>
      </c>
    </row>
    <row r="176" spans="1:16" ht="15.75" customHeight="1" x14ac:dyDescent="0.25">
      <c r="A176" s="57">
        <v>175</v>
      </c>
      <c r="B176" s="44" t="s">
        <v>286</v>
      </c>
      <c r="C176" s="33" t="s">
        <v>56</v>
      </c>
      <c r="D176" s="35">
        <v>1</v>
      </c>
      <c r="E176" s="28"/>
      <c r="F176" s="10">
        <f>(D176*0.5)+(E176*0.5)</f>
        <v>0.5</v>
      </c>
      <c r="G176" s="7"/>
      <c r="H176" s="12">
        <f>((F176*0.7)+(G176*0.3))*0.4</f>
        <v>0.13999999999999999</v>
      </c>
      <c r="I176" s="3"/>
      <c r="J176" s="3"/>
      <c r="K176" s="3">
        <f>(I176*0.5)+(J176*0.5)</f>
        <v>0</v>
      </c>
      <c r="L176" s="4"/>
      <c r="M176" s="4">
        <f>((K176*0.7)+(L176*0.3))*0.7</f>
        <v>0</v>
      </c>
      <c r="N176" s="2"/>
      <c r="O176" s="5">
        <f>(H176*0.4)+(M176*0.6)</f>
        <v>5.5999999999999994E-2</v>
      </c>
      <c r="P176" s="6" t="s">
        <v>5</v>
      </c>
    </row>
    <row r="177" spans="1:16" ht="15.75" customHeight="1" x14ac:dyDescent="0.25">
      <c r="A177" s="57">
        <v>176</v>
      </c>
      <c r="B177" s="56" t="s">
        <v>153</v>
      </c>
      <c r="C177" s="37">
        <v>18</v>
      </c>
      <c r="D177" s="27">
        <v>16</v>
      </c>
      <c r="E177" s="28"/>
      <c r="F177" s="10">
        <f>(D177*0.5)+(E177*0.5)</f>
        <v>8</v>
      </c>
      <c r="G177" s="7"/>
      <c r="H177" s="12">
        <f>((F177*0.7)+(G177*0.3))*0.4</f>
        <v>2.2399999999999998</v>
      </c>
      <c r="I177" s="3"/>
      <c r="J177" s="3"/>
      <c r="K177" s="3">
        <f>(I177*0.5)+(J177*0.5)</f>
        <v>0</v>
      </c>
      <c r="L177" s="4"/>
      <c r="M177" s="4">
        <f>((K177*0.7)+(L177*0.3))*0.7</f>
        <v>0</v>
      </c>
      <c r="N177" s="2"/>
      <c r="O177" s="5">
        <f>(H177*0.4)+(M177*0.6)</f>
        <v>0.89599999999999991</v>
      </c>
      <c r="P177" s="6" t="s">
        <v>5</v>
      </c>
    </row>
    <row r="178" spans="1:16" ht="15.75" customHeight="1" x14ac:dyDescent="0.25">
      <c r="A178" s="57">
        <v>177</v>
      </c>
      <c r="B178" s="48" t="s">
        <v>192</v>
      </c>
      <c r="C178" s="37">
        <v>18</v>
      </c>
      <c r="D178" s="9">
        <v>15</v>
      </c>
      <c r="E178" s="28"/>
      <c r="F178" s="10">
        <f>(D178*0.5)+(E178*0.5)</f>
        <v>7.5</v>
      </c>
      <c r="G178" s="7"/>
      <c r="H178" s="12">
        <f>((F178*0.7)+(G178*0.3))*0.4</f>
        <v>2.1</v>
      </c>
      <c r="I178" s="3"/>
      <c r="J178" s="3"/>
      <c r="K178" s="3">
        <f>(I178*0.5)+(J178*0.5)</f>
        <v>0</v>
      </c>
      <c r="L178" s="4"/>
      <c r="M178" s="4">
        <f>((K178*0.7)+(L178*0.3))*0.7</f>
        <v>0</v>
      </c>
      <c r="N178" s="2"/>
      <c r="O178" s="5">
        <f>(H178*0.4)+(M178*0.6)</f>
        <v>0.84000000000000008</v>
      </c>
      <c r="P178" s="6" t="s">
        <v>5</v>
      </c>
    </row>
    <row r="179" spans="1:16" ht="15.75" customHeight="1" x14ac:dyDescent="0.25">
      <c r="A179" s="57">
        <v>178</v>
      </c>
      <c r="B179" s="44" t="s">
        <v>256</v>
      </c>
      <c r="C179" s="33" t="s">
        <v>56</v>
      </c>
      <c r="D179" s="34">
        <v>14</v>
      </c>
      <c r="E179" s="28"/>
      <c r="F179" s="10">
        <f>(D179*0.5)+(E179*0.5)</f>
        <v>7</v>
      </c>
      <c r="G179" s="7"/>
      <c r="H179" s="12">
        <f>((F179*0.7)+(G179*0.3))*0.4</f>
        <v>1.96</v>
      </c>
      <c r="I179" s="3"/>
      <c r="J179" s="3"/>
      <c r="K179" s="3">
        <f>(I179*0.5)+(J179*0.5)</f>
        <v>0</v>
      </c>
      <c r="L179" s="4"/>
      <c r="M179" s="4">
        <f>((K179*0.7)+(L179*0.3))*0.7</f>
        <v>0</v>
      </c>
      <c r="N179" s="2"/>
      <c r="O179" s="5">
        <f>(H179*0.4)+(M179*0.6)</f>
        <v>0.78400000000000003</v>
      </c>
      <c r="P179" s="6" t="s">
        <v>5</v>
      </c>
    </row>
    <row r="180" spans="1:16" ht="15.75" customHeight="1" x14ac:dyDescent="0.25">
      <c r="A180" s="57">
        <v>179</v>
      </c>
      <c r="B180" s="48" t="s">
        <v>193</v>
      </c>
      <c r="C180" s="37">
        <v>14</v>
      </c>
      <c r="D180" s="9">
        <v>14</v>
      </c>
      <c r="E180" s="28"/>
      <c r="F180" s="10">
        <f>(D180*0.5)+(E180*0.5)</f>
        <v>7</v>
      </c>
      <c r="G180" s="7"/>
      <c r="H180" s="12">
        <f>((F180*0.7)+(G180*0.3))*0.4</f>
        <v>1.96</v>
      </c>
      <c r="I180" s="3"/>
      <c r="J180" s="3"/>
      <c r="K180" s="3">
        <f>(I180*0.5)+(J180*0.5)</f>
        <v>0</v>
      </c>
      <c r="L180" s="4"/>
      <c r="M180" s="4">
        <f>((K180*0.7)+(L180*0.3))*0.7</f>
        <v>0</v>
      </c>
      <c r="N180" s="2"/>
      <c r="O180" s="5">
        <f>(H180*0.4)+(M180*0.6)</f>
        <v>0.78400000000000003</v>
      </c>
      <c r="P180" s="6" t="s">
        <v>5</v>
      </c>
    </row>
    <row r="181" spans="1:16" ht="15.75" customHeight="1" x14ac:dyDescent="0.25">
      <c r="A181" s="57">
        <v>180</v>
      </c>
      <c r="B181" s="44" t="s">
        <v>287</v>
      </c>
      <c r="C181" s="33">
        <v>14</v>
      </c>
      <c r="D181" s="34">
        <v>15</v>
      </c>
      <c r="E181" s="28"/>
      <c r="F181" s="10">
        <f>(D181*0.5)+(E181*0.5)</f>
        <v>7.5</v>
      </c>
      <c r="G181" s="7"/>
      <c r="H181" s="12">
        <f>((F181*0.7)+(G181*0.3))*0.4</f>
        <v>2.1</v>
      </c>
      <c r="I181" s="3"/>
      <c r="J181" s="3"/>
      <c r="K181" s="3">
        <f>(I181*0.5)+(J181*0.5)</f>
        <v>0</v>
      </c>
      <c r="L181" s="4"/>
      <c r="M181" s="4">
        <f>((K181*0.7)+(L181*0.3))*0.7</f>
        <v>0</v>
      </c>
      <c r="N181" s="2"/>
      <c r="O181" s="5">
        <f>(H181*0.4)+(M181*0.6)</f>
        <v>0.84000000000000008</v>
      </c>
      <c r="P181" s="6" t="s">
        <v>5</v>
      </c>
    </row>
    <row r="182" spans="1:16" ht="15.75" customHeight="1" x14ac:dyDescent="0.25">
      <c r="A182" s="57">
        <v>181</v>
      </c>
      <c r="B182" s="44" t="s">
        <v>257</v>
      </c>
      <c r="C182" s="33" t="s">
        <v>56</v>
      </c>
      <c r="D182" s="35">
        <v>5</v>
      </c>
      <c r="E182" s="28"/>
      <c r="F182" s="10">
        <f>(D182*0.5)+(E182*0.5)</f>
        <v>2.5</v>
      </c>
      <c r="G182" s="7"/>
      <c r="H182" s="12">
        <f>((F182*0.7)+(G182*0.3))*0.4</f>
        <v>0.70000000000000007</v>
      </c>
      <c r="I182" s="3"/>
      <c r="J182" s="3"/>
      <c r="K182" s="3">
        <f>(I182*0.5)+(J182*0.5)</f>
        <v>0</v>
      </c>
      <c r="L182" s="4"/>
      <c r="M182" s="4">
        <f>((K182*0.7)+(L182*0.3))*0.7</f>
        <v>0</v>
      </c>
      <c r="N182" s="2"/>
      <c r="O182" s="5">
        <f>(H182*0.4)+(M182*0.6)</f>
        <v>0.28000000000000003</v>
      </c>
      <c r="P182" s="6" t="s">
        <v>5</v>
      </c>
    </row>
    <row r="183" spans="1:16" ht="15.75" customHeight="1" x14ac:dyDescent="0.25">
      <c r="A183" s="57">
        <v>182</v>
      </c>
      <c r="B183" s="48" t="s">
        <v>43</v>
      </c>
      <c r="C183" s="33">
        <v>16</v>
      </c>
      <c r="D183" s="9">
        <v>15</v>
      </c>
      <c r="E183" s="28"/>
      <c r="F183" s="10">
        <f>(D183*0.5)+(E183*0.5)</f>
        <v>7.5</v>
      </c>
      <c r="G183" s="7"/>
      <c r="H183" s="12">
        <f>((F183*0.7)+(G183*0.3))*0.4</f>
        <v>2.1</v>
      </c>
      <c r="I183" s="3"/>
      <c r="J183" s="3"/>
      <c r="K183" s="3">
        <f>(I183*0.5)+(J183*0.5)</f>
        <v>0</v>
      </c>
      <c r="L183" s="4"/>
      <c r="M183" s="4">
        <f>((K183*0.7)+(L183*0.3))*0.7</f>
        <v>0</v>
      </c>
      <c r="N183" s="2"/>
      <c r="O183" s="5">
        <f>(H183*0.4)+(M183*0.6)</f>
        <v>0.84000000000000008</v>
      </c>
      <c r="P183" s="6" t="s">
        <v>5</v>
      </c>
    </row>
    <row r="184" spans="1:16" ht="15.75" customHeight="1" x14ac:dyDescent="0.25">
      <c r="A184" s="57">
        <v>183</v>
      </c>
      <c r="B184" s="44" t="s">
        <v>258</v>
      </c>
      <c r="C184" s="33">
        <v>6</v>
      </c>
      <c r="D184" s="34">
        <v>15</v>
      </c>
      <c r="E184" s="28"/>
      <c r="F184" s="10">
        <f>(D184*0.5)+(E184*0.5)</f>
        <v>7.5</v>
      </c>
      <c r="G184" s="7"/>
      <c r="H184" s="12">
        <f>((F184*0.7)+(G184*0.3))*0.4</f>
        <v>2.1</v>
      </c>
      <c r="I184" s="3"/>
      <c r="J184" s="3"/>
      <c r="K184" s="3">
        <f>(I184*0.5)+(J184*0.5)</f>
        <v>0</v>
      </c>
      <c r="L184" s="4"/>
      <c r="M184" s="4">
        <f>((K184*0.7)+(L184*0.3))*0.7</f>
        <v>0</v>
      </c>
      <c r="N184" s="2"/>
      <c r="O184" s="5">
        <f>(H184*0.4)+(M184*0.6)</f>
        <v>0.84000000000000008</v>
      </c>
      <c r="P184" s="6" t="s">
        <v>5</v>
      </c>
    </row>
    <row r="185" spans="1:16" ht="15.75" customHeight="1" x14ac:dyDescent="0.25">
      <c r="A185" s="57">
        <v>184</v>
      </c>
      <c r="B185" s="44" t="s">
        <v>288</v>
      </c>
      <c r="C185" s="36">
        <v>8</v>
      </c>
      <c r="D185" s="34">
        <v>11</v>
      </c>
      <c r="E185" s="28"/>
      <c r="F185" s="10">
        <f>(D185*0.5)+(E185*0.5)</f>
        <v>5.5</v>
      </c>
      <c r="G185" s="7"/>
      <c r="H185" s="12">
        <f>((F185*0.7)+(G185*0.3))*0.4</f>
        <v>1.54</v>
      </c>
      <c r="I185" s="3"/>
      <c r="J185" s="3"/>
      <c r="K185" s="3">
        <f>(I185*0.5)+(J185*0.5)</f>
        <v>0</v>
      </c>
      <c r="L185" s="4"/>
      <c r="M185" s="4">
        <f>((K185*0.7)+(L185*0.3))*0.7</f>
        <v>0</v>
      </c>
      <c r="N185" s="2"/>
      <c r="O185" s="5">
        <f>(H185*0.4)+(M185*0.6)</f>
        <v>0.6160000000000001</v>
      </c>
      <c r="P185" s="6" t="s">
        <v>5</v>
      </c>
    </row>
    <row r="186" spans="1:16" ht="15.75" customHeight="1" x14ac:dyDescent="0.25">
      <c r="A186" s="57">
        <v>185</v>
      </c>
      <c r="B186" s="44" t="s">
        <v>215</v>
      </c>
      <c r="C186" s="33">
        <v>18</v>
      </c>
      <c r="D186" s="9">
        <v>12</v>
      </c>
      <c r="E186" s="28"/>
      <c r="F186" s="10">
        <f>(D186*0.5)+(E186*0.5)</f>
        <v>6</v>
      </c>
      <c r="G186" s="7"/>
      <c r="H186" s="12">
        <f>((F186*0.7)+(G186*0.3))*0.4</f>
        <v>1.6799999999999997</v>
      </c>
      <c r="I186" s="3"/>
      <c r="J186" s="3"/>
      <c r="K186" s="3">
        <f>(I186*0.5)+(J186*0.5)</f>
        <v>0</v>
      </c>
      <c r="L186" s="4"/>
      <c r="M186" s="4">
        <f>((K186*0.7)+(L186*0.3))*0.7</f>
        <v>0</v>
      </c>
      <c r="N186" s="2"/>
      <c r="O186" s="5">
        <f>(H186*0.4)+(M186*0.6)</f>
        <v>0.67199999999999993</v>
      </c>
      <c r="P186" s="6" t="s">
        <v>5</v>
      </c>
    </row>
    <row r="187" spans="1:16" ht="15.75" customHeight="1" x14ac:dyDescent="0.25">
      <c r="A187" s="57">
        <v>186</v>
      </c>
      <c r="B187" s="44" t="s">
        <v>216</v>
      </c>
      <c r="C187" s="33">
        <v>6</v>
      </c>
      <c r="D187" s="32">
        <v>8</v>
      </c>
      <c r="E187" s="28"/>
      <c r="F187" s="10">
        <f>(D187*0.5)+(E187*0.5)</f>
        <v>4</v>
      </c>
      <c r="G187" s="7"/>
      <c r="H187" s="12">
        <f>((F187*0.7)+(G187*0.3))*0.4</f>
        <v>1.1199999999999999</v>
      </c>
      <c r="I187" s="3"/>
      <c r="J187" s="3"/>
      <c r="K187" s="3">
        <f>(I187*0.5)+(J187*0.5)</f>
        <v>0</v>
      </c>
      <c r="L187" s="4"/>
      <c r="M187" s="4">
        <f>((K187*0.7)+(L187*0.3))*0.7</f>
        <v>0</v>
      </c>
      <c r="N187" s="2"/>
      <c r="O187" s="5">
        <f>(H187*0.4)+(M187*0.6)</f>
        <v>0.44799999999999995</v>
      </c>
      <c r="P187" s="6" t="s">
        <v>5</v>
      </c>
    </row>
    <row r="188" spans="1:16" ht="15.75" customHeight="1" x14ac:dyDescent="0.25">
      <c r="A188" s="57">
        <v>187</v>
      </c>
      <c r="B188" s="55" t="s">
        <v>154</v>
      </c>
      <c r="C188" s="37" t="s">
        <v>56</v>
      </c>
      <c r="D188" s="27">
        <v>17</v>
      </c>
      <c r="E188" s="28"/>
      <c r="F188" s="10">
        <f>(D188*0.5)+(E188*0.5)</f>
        <v>8.5</v>
      </c>
      <c r="G188" s="7"/>
      <c r="H188" s="12">
        <f>((F188*0.7)+(G188*0.3))*0.4</f>
        <v>2.38</v>
      </c>
      <c r="I188" s="3"/>
      <c r="J188" s="3"/>
      <c r="K188" s="3">
        <f>(I188*0.5)+(J188*0.5)</f>
        <v>0</v>
      </c>
      <c r="L188" s="4"/>
      <c r="M188" s="4">
        <f>((K188*0.7)+(L188*0.3))*0.7</f>
        <v>0</v>
      </c>
      <c r="N188" s="2"/>
      <c r="O188" s="5">
        <f>(H188*0.4)+(M188*0.6)</f>
        <v>0.95199999999999996</v>
      </c>
      <c r="P188" s="6" t="s">
        <v>5</v>
      </c>
    </row>
    <row r="189" spans="1:16" ht="15.75" customHeight="1" x14ac:dyDescent="0.25">
      <c r="A189" s="57">
        <v>188</v>
      </c>
      <c r="B189" s="48" t="s">
        <v>194</v>
      </c>
      <c r="C189" s="37">
        <v>6</v>
      </c>
      <c r="D189" s="9">
        <v>13</v>
      </c>
      <c r="E189" s="28"/>
      <c r="F189" s="10">
        <f>(D189*0.5)+(E189*0.5)</f>
        <v>6.5</v>
      </c>
      <c r="G189" s="7"/>
      <c r="H189" s="12">
        <f>((F189*0.7)+(G189*0.3))*0.4</f>
        <v>1.82</v>
      </c>
      <c r="I189" s="3"/>
      <c r="J189" s="3"/>
      <c r="K189" s="3">
        <f>(I189*0.5)+(J189*0.5)</f>
        <v>0</v>
      </c>
      <c r="L189" s="4"/>
      <c r="M189" s="4">
        <f>((K189*0.7)+(L189*0.3))*0.7</f>
        <v>0</v>
      </c>
      <c r="N189" s="2"/>
      <c r="O189" s="5">
        <f>(H189*0.4)+(M189*0.6)</f>
        <v>0.72800000000000009</v>
      </c>
      <c r="P189" s="6" t="s">
        <v>5</v>
      </c>
    </row>
    <row r="190" spans="1:16" ht="15.75" customHeight="1" x14ac:dyDescent="0.25">
      <c r="A190" s="57">
        <v>189</v>
      </c>
      <c r="B190" s="48" t="s">
        <v>44</v>
      </c>
      <c r="C190" s="33">
        <v>14</v>
      </c>
      <c r="D190" s="9">
        <v>16</v>
      </c>
      <c r="E190" s="28"/>
      <c r="F190" s="10">
        <f>(D190*0.5)+(E190*0.5)</f>
        <v>8</v>
      </c>
      <c r="G190" s="7"/>
      <c r="H190" s="12">
        <f>((F190*0.7)+(G190*0.3))*0.4</f>
        <v>2.2399999999999998</v>
      </c>
      <c r="I190" s="3"/>
      <c r="J190" s="3"/>
      <c r="K190" s="3">
        <f>(I190*0.5)+(J190*0.5)</f>
        <v>0</v>
      </c>
      <c r="L190" s="4"/>
      <c r="M190" s="4">
        <f>((K190*0.7)+(L190*0.3))*0.7</f>
        <v>0</v>
      </c>
      <c r="N190" s="2"/>
      <c r="O190" s="5">
        <f>(H190*0.4)+(M190*0.6)</f>
        <v>0.89599999999999991</v>
      </c>
      <c r="P190" s="6" t="s">
        <v>5</v>
      </c>
    </row>
    <row r="191" spans="1:16" ht="15.75" customHeight="1" x14ac:dyDescent="0.25">
      <c r="A191" s="57">
        <v>190</v>
      </c>
      <c r="B191" s="44" t="s">
        <v>259</v>
      </c>
      <c r="C191" s="33" t="s">
        <v>56</v>
      </c>
      <c r="D191" s="34">
        <v>15</v>
      </c>
      <c r="E191" s="28"/>
      <c r="F191" s="10">
        <f>(D191*0.5)+(E191*0.5)</f>
        <v>7.5</v>
      </c>
      <c r="G191" s="7"/>
      <c r="H191" s="12">
        <f>((F191*0.7)+(G191*0.3))*0.4</f>
        <v>2.1</v>
      </c>
      <c r="I191" s="3"/>
      <c r="J191" s="3"/>
      <c r="K191" s="3">
        <f>(I191*0.5)+(J191*0.5)</f>
        <v>0</v>
      </c>
      <c r="L191" s="4"/>
      <c r="M191" s="4">
        <f>((K191*0.7)+(L191*0.3))*0.7</f>
        <v>0</v>
      </c>
      <c r="N191" s="2"/>
      <c r="O191" s="5">
        <f>(H191*0.4)+(M191*0.6)</f>
        <v>0.84000000000000008</v>
      </c>
      <c r="P191" s="6" t="s">
        <v>5</v>
      </c>
    </row>
    <row r="192" spans="1:16" ht="15.75" customHeight="1" x14ac:dyDescent="0.25">
      <c r="A192" s="57">
        <v>191</v>
      </c>
      <c r="B192" s="48" t="s">
        <v>195</v>
      </c>
      <c r="C192" s="37">
        <v>18</v>
      </c>
      <c r="D192" s="9">
        <v>13</v>
      </c>
      <c r="E192" s="28"/>
      <c r="F192" s="10">
        <f>(D192*0.5)+(E192*0.5)</f>
        <v>6.5</v>
      </c>
      <c r="G192" s="7"/>
      <c r="H192" s="12">
        <f>((F192*0.7)+(G192*0.3))*0.4</f>
        <v>1.82</v>
      </c>
      <c r="I192" s="3"/>
      <c r="J192" s="3"/>
      <c r="K192" s="3">
        <f>(I192*0.5)+(J192*0.5)</f>
        <v>0</v>
      </c>
      <c r="L192" s="4"/>
      <c r="M192" s="4">
        <f>((K192*0.7)+(L192*0.3))*0.7</f>
        <v>0</v>
      </c>
      <c r="N192" s="2"/>
      <c r="O192" s="5">
        <f>(H192*0.4)+(M192*0.6)</f>
        <v>0.72800000000000009</v>
      </c>
      <c r="P192" s="6" t="s">
        <v>5</v>
      </c>
    </row>
    <row r="193" spans="1:16" ht="15.75" customHeight="1" x14ac:dyDescent="0.25">
      <c r="A193" s="57">
        <v>192</v>
      </c>
      <c r="B193" s="48" t="s">
        <v>196</v>
      </c>
      <c r="C193" s="37">
        <v>20</v>
      </c>
      <c r="D193" s="9">
        <v>16</v>
      </c>
      <c r="E193" s="28"/>
      <c r="F193" s="10">
        <f>(D193*0.5)+(E193*0.5)</f>
        <v>8</v>
      </c>
      <c r="G193" s="7"/>
      <c r="H193" s="12">
        <f>((F193*0.7)+(G193*0.3))*0.4</f>
        <v>2.2399999999999998</v>
      </c>
      <c r="I193" s="3"/>
      <c r="J193" s="3"/>
      <c r="K193" s="3">
        <f>(I193*0.5)+(J193*0.5)</f>
        <v>0</v>
      </c>
      <c r="L193" s="4"/>
      <c r="M193" s="4">
        <f>((K193*0.7)+(L193*0.3))*0.7</f>
        <v>0</v>
      </c>
      <c r="N193" s="2"/>
      <c r="O193" s="5">
        <f>(H193*0.4)+(M193*0.6)</f>
        <v>0.89599999999999991</v>
      </c>
      <c r="P193" s="6" t="s">
        <v>5</v>
      </c>
    </row>
    <row r="194" spans="1:16" ht="15.75" customHeight="1" x14ac:dyDescent="0.25">
      <c r="A194" s="57">
        <v>193</v>
      </c>
      <c r="B194" s="55" t="s">
        <v>155</v>
      </c>
      <c r="C194" s="37">
        <v>18</v>
      </c>
      <c r="D194" s="27">
        <v>16</v>
      </c>
      <c r="E194" s="28"/>
      <c r="F194" s="10">
        <f>(D194*0.5)+(E194*0.5)</f>
        <v>8</v>
      </c>
      <c r="G194" s="7"/>
      <c r="H194" s="12">
        <f>((F194*0.7)+(G194*0.3))*0.4</f>
        <v>2.2399999999999998</v>
      </c>
      <c r="I194" s="3"/>
      <c r="J194" s="3"/>
      <c r="K194" s="3">
        <f>(I194*0.5)+(J194*0.5)</f>
        <v>0</v>
      </c>
      <c r="L194" s="4"/>
      <c r="M194" s="4">
        <f>((K194*0.7)+(L194*0.3))*0.7</f>
        <v>0</v>
      </c>
      <c r="N194" s="2"/>
      <c r="O194" s="5">
        <f>(H194*0.4)+(M194*0.6)</f>
        <v>0.89599999999999991</v>
      </c>
      <c r="P194" s="6" t="s">
        <v>5</v>
      </c>
    </row>
    <row r="195" spans="1:16" ht="15.75" customHeight="1" x14ac:dyDescent="0.25">
      <c r="A195" s="57">
        <v>194</v>
      </c>
      <c r="B195" s="44" t="s">
        <v>260</v>
      </c>
      <c r="C195" s="33" t="s">
        <v>56</v>
      </c>
      <c r="D195" s="34">
        <v>17</v>
      </c>
      <c r="E195" s="28"/>
      <c r="F195" s="10">
        <f>(D195*0.5)+(E195*0.5)</f>
        <v>8.5</v>
      </c>
      <c r="G195" s="7"/>
      <c r="H195" s="12">
        <f>((F195*0.7)+(G195*0.3))*0.4</f>
        <v>2.38</v>
      </c>
      <c r="I195" s="3"/>
      <c r="J195" s="3"/>
      <c r="K195" s="3">
        <f>(I195*0.5)+(J195*0.5)</f>
        <v>0</v>
      </c>
      <c r="L195" s="4"/>
      <c r="M195" s="4">
        <f>((K195*0.7)+(L195*0.3))*0.7</f>
        <v>0</v>
      </c>
      <c r="N195" s="2"/>
      <c r="O195" s="5">
        <f>(H195*0.4)+(M195*0.6)</f>
        <v>0.95199999999999996</v>
      </c>
      <c r="P195" s="6" t="s">
        <v>5</v>
      </c>
    </row>
    <row r="196" spans="1:16" ht="15.75" customHeight="1" x14ac:dyDescent="0.25">
      <c r="A196" s="57">
        <v>195</v>
      </c>
      <c r="B196" s="48" t="s">
        <v>197</v>
      </c>
      <c r="C196" s="33" t="s">
        <v>56</v>
      </c>
      <c r="D196" s="11">
        <v>7</v>
      </c>
      <c r="E196" s="28"/>
      <c r="F196" s="10">
        <f>(D196*0.5)+(E196*0.5)</f>
        <v>3.5</v>
      </c>
      <c r="G196" s="7"/>
      <c r="H196" s="12">
        <f>((F196*0.7)+(G196*0.3))*0.4</f>
        <v>0.98</v>
      </c>
      <c r="I196" s="3"/>
      <c r="J196" s="3"/>
      <c r="K196" s="3">
        <f>(I196*0.5)+(J196*0.5)</f>
        <v>0</v>
      </c>
      <c r="L196" s="4"/>
      <c r="M196" s="4">
        <f>((K196*0.7)+(L196*0.3))*0.7</f>
        <v>0</v>
      </c>
      <c r="N196" s="2"/>
      <c r="O196" s="5">
        <f>(H196*0.4)+(M196*0.6)</f>
        <v>0.39200000000000002</v>
      </c>
      <c r="P196" s="6" t="s">
        <v>5</v>
      </c>
    </row>
    <row r="197" spans="1:16" ht="15.75" customHeight="1" x14ac:dyDescent="0.25">
      <c r="A197" s="57">
        <v>196</v>
      </c>
      <c r="B197" s="44" t="s">
        <v>261</v>
      </c>
      <c r="C197" s="33" t="s">
        <v>56</v>
      </c>
      <c r="D197" s="34">
        <v>17</v>
      </c>
      <c r="E197" s="28"/>
      <c r="F197" s="10">
        <f>(D197*0.5)+(E197*0.5)</f>
        <v>8.5</v>
      </c>
      <c r="G197" s="7"/>
      <c r="H197" s="12">
        <f>((F197*0.7)+(G197*0.3))*0.4</f>
        <v>2.38</v>
      </c>
      <c r="I197" s="3"/>
      <c r="J197" s="3"/>
      <c r="K197" s="3">
        <f>(I197*0.5)+(J197*0.5)</f>
        <v>0</v>
      </c>
      <c r="L197" s="4"/>
      <c r="M197" s="4">
        <f>((K197*0.7)+(L197*0.3))*0.7</f>
        <v>0</v>
      </c>
      <c r="N197" s="2"/>
      <c r="O197" s="5">
        <f>(H197*0.4)+(M197*0.6)</f>
        <v>0.95199999999999996</v>
      </c>
      <c r="P197" s="6" t="s">
        <v>5</v>
      </c>
    </row>
    <row r="198" spans="1:16" ht="15.75" customHeight="1" x14ac:dyDescent="0.25">
      <c r="A198" s="57">
        <v>197</v>
      </c>
      <c r="B198" s="48" t="s">
        <v>198</v>
      </c>
      <c r="C198" s="37">
        <v>16</v>
      </c>
      <c r="D198" s="9">
        <v>14</v>
      </c>
      <c r="E198" s="28"/>
      <c r="F198" s="10">
        <f>(D198*0.5)+(E198*0.5)</f>
        <v>7</v>
      </c>
      <c r="G198" s="7"/>
      <c r="H198" s="12">
        <f>((F198*0.7)+(G198*0.3))*0.4</f>
        <v>1.96</v>
      </c>
      <c r="I198" s="3"/>
      <c r="J198" s="3"/>
      <c r="K198" s="3">
        <f>(I198*0.5)+(J198*0.5)</f>
        <v>0</v>
      </c>
      <c r="L198" s="4"/>
      <c r="M198" s="4">
        <f>((K198*0.7)+(L198*0.3))*0.7</f>
        <v>0</v>
      </c>
      <c r="N198" s="2"/>
      <c r="O198" s="5">
        <f>(H198*0.4)+(M198*0.6)</f>
        <v>0.78400000000000003</v>
      </c>
      <c r="P198" s="6" t="s">
        <v>5</v>
      </c>
    </row>
    <row r="199" spans="1:16" ht="15.75" customHeight="1" x14ac:dyDescent="0.25">
      <c r="A199" s="57">
        <v>198</v>
      </c>
      <c r="B199" s="48" t="s">
        <v>199</v>
      </c>
      <c r="C199" s="37">
        <v>12</v>
      </c>
      <c r="D199" s="9">
        <v>13</v>
      </c>
      <c r="E199" s="28"/>
      <c r="F199" s="10">
        <f>(D199*0.5)+(E199*0.5)</f>
        <v>6.5</v>
      </c>
      <c r="G199" s="7"/>
      <c r="H199" s="12">
        <f>((F199*0.7)+(G199*0.3))*0.4</f>
        <v>1.82</v>
      </c>
      <c r="I199" s="3"/>
      <c r="J199" s="3"/>
      <c r="K199" s="3">
        <f>(I199*0.5)+(J199*0.5)</f>
        <v>0</v>
      </c>
      <c r="L199" s="4"/>
      <c r="M199" s="4">
        <f>((K199*0.7)+(L199*0.3))*0.7</f>
        <v>0</v>
      </c>
      <c r="N199" s="2"/>
      <c r="O199" s="5">
        <f>(H199*0.4)+(M199*0.6)</f>
        <v>0.72800000000000009</v>
      </c>
      <c r="P199" s="6" t="s">
        <v>5</v>
      </c>
    </row>
    <row r="200" spans="1:16" ht="15.75" customHeight="1" x14ac:dyDescent="0.25">
      <c r="A200" s="57">
        <v>199</v>
      </c>
      <c r="B200" s="48" t="s">
        <v>45</v>
      </c>
      <c r="C200" s="33">
        <v>12</v>
      </c>
      <c r="D200" s="9">
        <v>15</v>
      </c>
      <c r="E200" s="28"/>
      <c r="F200" s="10">
        <f>(D200*0.5)+(E200*0.5)</f>
        <v>7.5</v>
      </c>
      <c r="G200" s="7"/>
      <c r="H200" s="12">
        <f>((F200*0.7)+(G200*0.3))*0.4</f>
        <v>2.1</v>
      </c>
      <c r="I200" s="3"/>
      <c r="J200" s="3"/>
      <c r="K200" s="3">
        <f>(I200*0.5)+(J200*0.5)</f>
        <v>0</v>
      </c>
      <c r="L200" s="4"/>
      <c r="M200" s="4">
        <f>((K200*0.7)+(L200*0.3))*0.7</f>
        <v>0</v>
      </c>
      <c r="N200" s="2"/>
      <c r="O200" s="5">
        <f>(H200*0.4)+(M200*0.6)</f>
        <v>0.84000000000000008</v>
      </c>
      <c r="P200" s="6" t="s">
        <v>5</v>
      </c>
    </row>
    <row r="201" spans="1:16" ht="15.75" customHeight="1" x14ac:dyDescent="0.25">
      <c r="A201" s="57">
        <v>200</v>
      </c>
      <c r="B201" s="44" t="s">
        <v>217</v>
      </c>
      <c r="C201" s="33" t="s">
        <v>56</v>
      </c>
      <c r="D201" s="9">
        <v>11</v>
      </c>
      <c r="E201" s="28"/>
      <c r="F201" s="10">
        <f>(D201*0.5)+(E201*0.5)</f>
        <v>5.5</v>
      </c>
      <c r="G201" s="7"/>
      <c r="H201" s="12">
        <f>((F201*0.7)+(G201*0.3))*0.4</f>
        <v>1.54</v>
      </c>
      <c r="I201" s="3"/>
      <c r="J201" s="3"/>
      <c r="K201" s="3">
        <f>(I201*0.5)+(J201*0.5)</f>
        <v>0</v>
      </c>
      <c r="L201" s="4"/>
      <c r="M201" s="4">
        <f>((K201*0.7)+(L201*0.3))*0.7</f>
        <v>0</v>
      </c>
      <c r="N201" s="2"/>
      <c r="O201" s="5">
        <f>(H201*0.4)+(M201*0.6)</f>
        <v>0.6160000000000001</v>
      </c>
      <c r="P201" s="6" t="s">
        <v>5</v>
      </c>
    </row>
    <row r="202" spans="1:16" ht="15.75" customHeight="1" x14ac:dyDescent="0.25">
      <c r="A202" s="57">
        <v>201</v>
      </c>
      <c r="B202" s="44" t="s">
        <v>262</v>
      </c>
      <c r="C202" s="33" t="s">
        <v>56</v>
      </c>
      <c r="D202" s="34">
        <v>14</v>
      </c>
      <c r="E202" s="28"/>
      <c r="F202" s="10">
        <f>(D202*0.5)+(E202*0.5)</f>
        <v>7</v>
      </c>
      <c r="G202" s="7"/>
      <c r="H202" s="12">
        <f>((F202*0.7)+(G202*0.3))*0.4</f>
        <v>1.96</v>
      </c>
      <c r="I202" s="3"/>
      <c r="J202" s="3"/>
      <c r="K202" s="3">
        <f>(I202*0.5)+(J202*0.5)</f>
        <v>0</v>
      </c>
      <c r="L202" s="4"/>
      <c r="M202" s="4">
        <f>((K202*0.7)+(L202*0.3))*0.7</f>
        <v>0</v>
      </c>
      <c r="N202" s="2"/>
      <c r="O202" s="5">
        <f>(H202*0.4)+(M202*0.6)</f>
        <v>0.78400000000000003</v>
      </c>
      <c r="P202" s="6" t="s">
        <v>5</v>
      </c>
    </row>
    <row r="203" spans="1:16" ht="15.75" customHeight="1" x14ac:dyDescent="0.25">
      <c r="A203" s="57">
        <v>202</v>
      </c>
      <c r="B203" s="44" t="s">
        <v>289</v>
      </c>
      <c r="C203" s="36">
        <v>8</v>
      </c>
      <c r="D203" s="34">
        <v>12</v>
      </c>
      <c r="E203" s="28"/>
      <c r="F203" s="10">
        <f>(D203*0.5)+(E203*0.5)</f>
        <v>6</v>
      </c>
      <c r="G203" s="7"/>
      <c r="H203" s="12">
        <f>((F203*0.7)+(G203*0.3))*0.4</f>
        <v>1.6799999999999997</v>
      </c>
      <c r="I203" s="3"/>
      <c r="J203" s="3"/>
      <c r="K203" s="3">
        <f>(I203*0.5)+(J203*0.5)</f>
        <v>0</v>
      </c>
      <c r="L203" s="4"/>
      <c r="M203" s="4">
        <f>((K203*0.7)+(L203*0.3))*0.7</f>
        <v>0</v>
      </c>
      <c r="N203" s="2"/>
      <c r="O203" s="5">
        <f>(H203*0.4)+(M203*0.6)</f>
        <v>0.67199999999999993</v>
      </c>
      <c r="P203" s="6" t="s">
        <v>5</v>
      </c>
    </row>
    <row r="204" spans="1:16" ht="15.75" customHeight="1" x14ac:dyDescent="0.25">
      <c r="A204" s="57">
        <v>203</v>
      </c>
      <c r="B204" s="55" t="s">
        <v>156</v>
      </c>
      <c r="C204" s="37">
        <v>12</v>
      </c>
      <c r="D204" s="27">
        <v>17</v>
      </c>
      <c r="E204" s="28"/>
      <c r="F204" s="10">
        <f>(D204*0.5)+(E204*0.5)</f>
        <v>8.5</v>
      </c>
      <c r="G204" s="7"/>
      <c r="H204" s="12">
        <f>((F204*0.7)+(G204*0.3))*0.4</f>
        <v>2.38</v>
      </c>
      <c r="I204" s="3"/>
      <c r="J204" s="3"/>
      <c r="K204" s="3">
        <f>(I204*0.5)+(J204*0.5)</f>
        <v>0</v>
      </c>
      <c r="L204" s="4"/>
      <c r="M204" s="4">
        <f>((K204*0.7)+(L204*0.3))*0.7</f>
        <v>0</v>
      </c>
      <c r="N204" s="2"/>
      <c r="O204" s="5">
        <f>(H204*0.4)+(M204*0.6)</f>
        <v>0.95199999999999996</v>
      </c>
      <c r="P204" s="6" t="s">
        <v>5</v>
      </c>
    </row>
    <row r="205" spans="1:16" ht="15.75" customHeight="1" x14ac:dyDescent="0.25">
      <c r="A205" s="57">
        <v>204</v>
      </c>
      <c r="B205" s="48" t="s">
        <v>46</v>
      </c>
      <c r="C205" s="33">
        <v>12</v>
      </c>
      <c r="D205" s="9">
        <v>14</v>
      </c>
      <c r="E205" s="28"/>
      <c r="F205" s="10">
        <f>(D205*0.5)+(E205*0.5)</f>
        <v>7</v>
      </c>
      <c r="G205" s="7"/>
      <c r="H205" s="12">
        <f>((F205*0.7)+(G205*0.3))*0.4</f>
        <v>1.96</v>
      </c>
      <c r="I205" s="3"/>
      <c r="J205" s="3"/>
      <c r="K205" s="3">
        <f>(I205*0.5)+(J205*0.5)</f>
        <v>0</v>
      </c>
      <c r="L205" s="4"/>
      <c r="M205" s="4">
        <f>((K205*0.7)+(L205*0.3))*0.7</f>
        <v>0</v>
      </c>
      <c r="N205" s="2"/>
      <c r="O205" s="5">
        <f>(H205*0.4)+(M205*0.6)</f>
        <v>0.78400000000000003</v>
      </c>
      <c r="P205" s="6" t="s">
        <v>5</v>
      </c>
    </row>
    <row r="206" spans="1:16" ht="15.75" customHeight="1" x14ac:dyDescent="0.25">
      <c r="A206" s="57">
        <v>205</v>
      </c>
      <c r="B206" s="55" t="s">
        <v>157</v>
      </c>
      <c r="C206" s="37" t="s">
        <v>56</v>
      </c>
      <c r="D206" s="27">
        <v>14</v>
      </c>
      <c r="E206" s="28"/>
      <c r="F206" s="10">
        <f>(D206*0.5)+(E206*0.5)</f>
        <v>7</v>
      </c>
      <c r="G206" s="7"/>
      <c r="H206" s="12">
        <f>((F206*0.7)+(G206*0.3))*0.4</f>
        <v>1.96</v>
      </c>
      <c r="I206" s="3"/>
      <c r="J206" s="3"/>
      <c r="K206" s="3">
        <f>(I206*0.5)+(J206*0.5)</f>
        <v>0</v>
      </c>
      <c r="L206" s="4"/>
      <c r="M206" s="4">
        <f>((K206*0.7)+(L206*0.3))*0.7</f>
        <v>0</v>
      </c>
      <c r="N206" s="2"/>
      <c r="O206" s="5">
        <f>(H206*0.4)+(M206*0.6)</f>
        <v>0.78400000000000003</v>
      </c>
      <c r="P206" s="6" t="s">
        <v>5</v>
      </c>
    </row>
    <row r="207" spans="1:16" ht="15.75" customHeight="1" x14ac:dyDescent="0.25">
      <c r="A207" s="57">
        <v>206</v>
      </c>
      <c r="B207" s="48" t="s">
        <v>200</v>
      </c>
      <c r="C207" s="37">
        <v>20</v>
      </c>
      <c r="D207" s="9">
        <v>16</v>
      </c>
      <c r="E207" s="28"/>
      <c r="F207" s="10">
        <f>(D207*0.5)+(E207*0.5)</f>
        <v>8</v>
      </c>
      <c r="G207" s="7"/>
      <c r="H207" s="12">
        <f>((F207*0.7)+(G207*0.3))*0.4</f>
        <v>2.2399999999999998</v>
      </c>
      <c r="I207" s="3"/>
      <c r="J207" s="3"/>
      <c r="K207" s="3">
        <f>(I207*0.5)+(J207*0.5)</f>
        <v>0</v>
      </c>
      <c r="L207" s="4"/>
      <c r="M207" s="4">
        <f>((K207*0.7)+(L207*0.3))*0.7</f>
        <v>0</v>
      </c>
      <c r="N207" s="2"/>
      <c r="O207" s="5">
        <f>(H207*0.4)+(M207*0.6)</f>
        <v>0.89599999999999991</v>
      </c>
      <c r="P207" s="6" t="s">
        <v>5</v>
      </c>
    </row>
    <row r="208" spans="1:16" ht="15.75" customHeight="1" x14ac:dyDescent="0.25">
      <c r="A208" s="57">
        <v>207</v>
      </c>
      <c r="B208" s="48" t="s">
        <v>47</v>
      </c>
      <c r="C208" s="33" t="s">
        <v>56</v>
      </c>
      <c r="D208" s="11">
        <v>0</v>
      </c>
      <c r="E208" s="28"/>
      <c r="F208" s="10">
        <f>(D208*0.5)+(E208*0.5)</f>
        <v>0</v>
      </c>
      <c r="G208" s="7"/>
      <c r="H208" s="12">
        <f>((F208*0.7)+(G208*0.3))*0.4</f>
        <v>0</v>
      </c>
      <c r="I208" s="3"/>
      <c r="J208" s="3"/>
      <c r="K208" s="3">
        <f>(I208*0.5)+(J208*0.5)</f>
        <v>0</v>
      </c>
      <c r="L208" s="4"/>
      <c r="M208" s="4">
        <f>((K208*0.7)+(L208*0.3))*0.7</f>
        <v>0</v>
      </c>
      <c r="N208" s="2"/>
      <c r="O208" s="5">
        <f>(H208*0.4)+(M208*0.6)</f>
        <v>0</v>
      </c>
      <c r="P208" s="6" t="s">
        <v>5</v>
      </c>
    </row>
    <row r="209" spans="1:16" ht="15.75" customHeight="1" x14ac:dyDescent="0.25">
      <c r="A209" s="57">
        <v>208</v>
      </c>
      <c r="B209" s="55" t="s">
        <v>158</v>
      </c>
      <c r="C209" s="37" t="s">
        <v>56</v>
      </c>
      <c r="D209" s="27">
        <v>17</v>
      </c>
      <c r="E209" s="28"/>
      <c r="F209" s="10">
        <f>(D209*0.5)+(E209*0.5)</f>
        <v>8.5</v>
      </c>
      <c r="G209" s="7"/>
      <c r="H209" s="12">
        <f>((F209*0.7)+(G209*0.3))*0.4</f>
        <v>2.38</v>
      </c>
      <c r="I209" s="3"/>
      <c r="J209" s="3"/>
      <c r="K209" s="3">
        <f>(I209*0.5)+(J209*0.5)</f>
        <v>0</v>
      </c>
      <c r="L209" s="4"/>
      <c r="M209" s="4">
        <f>((K209*0.7)+(L209*0.3))*0.7</f>
        <v>0</v>
      </c>
      <c r="N209" s="2"/>
      <c r="O209" s="5">
        <f>(H209*0.4)+(M209*0.6)</f>
        <v>0.95199999999999996</v>
      </c>
      <c r="P209" s="6" t="s">
        <v>5</v>
      </c>
    </row>
    <row r="210" spans="1:16" ht="15.75" customHeight="1" x14ac:dyDescent="0.25">
      <c r="A210" s="57">
        <v>209</v>
      </c>
      <c r="B210" s="44" t="s">
        <v>218</v>
      </c>
      <c r="C210" s="33">
        <v>10</v>
      </c>
      <c r="D210" s="9">
        <v>11</v>
      </c>
      <c r="E210" s="28"/>
      <c r="F210" s="10">
        <f>(D210*0.5)+(E210*0.5)</f>
        <v>5.5</v>
      </c>
      <c r="G210" s="7"/>
      <c r="H210" s="12">
        <f>((F210*0.7)+(G210*0.3))*0.4</f>
        <v>1.54</v>
      </c>
      <c r="I210" s="3"/>
      <c r="J210" s="3"/>
      <c r="K210" s="3">
        <f>(I210*0.5)+(J210*0.5)</f>
        <v>0</v>
      </c>
      <c r="L210" s="4"/>
      <c r="M210" s="4">
        <f>((K210*0.7)+(L210*0.3))*0.7</f>
        <v>0</v>
      </c>
      <c r="N210" s="2"/>
      <c r="O210" s="5">
        <f>(H210*0.4)+(M210*0.6)</f>
        <v>0.6160000000000001</v>
      </c>
      <c r="P210" s="6" t="s">
        <v>5</v>
      </c>
    </row>
    <row r="211" spans="1:16" ht="15.75" customHeight="1" x14ac:dyDescent="0.25">
      <c r="A211" s="57">
        <v>210</v>
      </c>
      <c r="B211" s="48" t="s">
        <v>48</v>
      </c>
      <c r="C211" s="33">
        <v>10</v>
      </c>
      <c r="D211" s="9">
        <v>16</v>
      </c>
      <c r="E211" s="28"/>
      <c r="F211" s="10">
        <f>(D211*0.5)+(E211*0.5)</f>
        <v>8</v>
      </c>
      <c r="G211" s="7"/>
      <c r="H211" s="12">
        <f>((F211*0.7)+(G211*0.3))*0.4</f>
        <v>2.2399999999999998</v>
      </c>
      <c r="I211" s="3"/>
      <c r="J211" s="3"/>
      <c r="K211" s="3">
        <f>(I211*0.5)+(J211*0.5)</f>
        <v>0</v>
      </c>
      <c r="L211" s="4"/>
      <c r="M211" s="4">
        <f>((K211*0.7)+(L211*0.3))*0.7</f>
        <v>0</v>
      </c>
      <c r="N211" s="2"/>
      <c r="O211" s="5">
        <f>(H211*0.4)+(M211*0.6)</f>
        <v>0.89599999999999991</v>
      </c>
      <c r="P211" s="6" t="s">
        <v>5</v>
      </c>
    </row>
    <row r="212" spans="1:16" ht="15.75" customHeight="1" x14ac:dyDescent="0.25">
      <c r="A212" s="57">
        <v>211</v>
      </c>
      <c r="B212" s="48" t="s">
        <v>201</v>
      </c>
      <c r="C212" s="37">
        <v>20</v>
      </c>
      <c r="D212" s="9">
        <v>15</v>
      </c>
      <c r="E212" s="28"/>
      <c r="F212" s="10">
        <f>(D212*0.5)+(E212*0.5)</f>
        <v>7.5</v>
      </c>
      <c r="G212" s="7"/>
      <c r="H212" s="12">
        <f>((F212*0.7)+(G212*0.3))*0.4</f>
        <v>2.1</v>
      </c>
      <c r="I212" s="3"/>
      <c r="J212" s="3"/>
      <c r="K212" s="3">
        <f>(I212*0.5)+(J212*0.5)</f>
        <v>0</v>
      </c>
      <c r="L212" s="4"/>
      <c r="M212" s="4">
        <f>((K212*0.7)+(L212*0.3))*0.7</f>
        <v>0</v>
      </c>
      <c r="N212" s="2"/>
      <c r="O212" s="5">
        <f>(H212*0.4)+(M212*0.6)</f>
        <v>0.84000000000000008</v>
      </c>
      <c r="P212" s="6" t="s">
        <v>5</v>
      </c>
    </row>
    <row r="213" spans="1:16" ht="15.75" customHeight="1" x14ac:dyDescent="0.25">
      <c r="A213" s="57">
        <v>212</v>
      </c>
      <c r="B213" s="48" t="s">
        <v>159</v>
      </c>
      <c r="C213" s="37" t="s">
        <v>56</v>
      </c>
      <c r="D213" s="27">
        <v>18</v>
      </c>
      <c r="E213" s="28"/>
      <c r="F213" s="10">
        <f>(D213*0.5)+(E213*0.5)</f>
        <v>9</v>
      </c>
      <c r="G213" s="7"/>
      <c r="H213" s="12">
        <f>((F213*0.7)+(G213*0.3))*0.4</f>
        <v>2.52</v>
      </c>
      <c r="I213" s="3"/>
      <c r="J213" s="3"/>
      <c r="K213" s="3">
        <f>(I213*0.5)+(J213*0.5)</f>
        <v>0</v>
      </c>
      <c r="L213" s="4"/>
      <c r="M213" s="4">
        <f>((K213*0.7)+(L213*0.3))*0.7</f>
        <v>0</v>
      </c>
      <c r="N213" s="2"/>
      <c r="O213" s="5">
        <f>(H213*0.4)+(M213*0.6)</f>
        <v>1.008</v>
      </c>
      <c r="P213" s="6" t="s">
        <v>5</v>
      </c>
    </row>
    <row r="214" spans="1:16" ht="15.75" customHeight="1" x14ac:dyDescent="0.25">
      <c r="A214" s="57">
        <v>213</v>
      </c>
      <c r="B214" s="48" t="s">
        <v>49</v>
      </c>
      <c r="C214" s="33">
        <v>10</v>
      </c>
      <c r="D214" s="9">
        <v>14</v>
      </c>
      <c r="E214" s="28"/>
      <c r="F214" s="10">
        <f>(D214*0.5)+(E214*0.5)</f>
        <v>7</v>
      </c>
      <c r="G214" s="7"/>
      <c r="H214" s="12">
        <f>((F214*0.7)+(G214*0.3))*0.4</f>
        <v>1.96</v>
      </c>
      <c r="I214" s="3"/>
      <c r="J214" s="3"/>
      <c r="K214" s="3">
        <f>(I214*0.5)+(J214*0.5)</f>
        <v>0</v>
      </c>
      <c r="L214" s="4"/>
      <c r="M214" s="4">
        <f>((K214*0.7)+(L214*0.3))*0.7</f>
        <v>0</v>
      </c>
      <c r="N214" s="2"/>
      <c r="O214" s="5">
        <f>(H214*0.4)+(M214*0.6)</f>
        <v>0.78400000000000003</v>
      </c>
      <c r="P214" s="6" t="s">
        <v>5</v>
      </c>
    </row>
    <row r="215" spans="1:16" ht="15.75" customHeight="1" x14ac:dyDescent="0.25">
      <c r="A215" s="57">
        <v>214</v>
      </c>
      <c r="B215" s="48" t="s">
        <v>50</v>
      </c>
      <c r="C215" s="33">
        <v>16</v>
      </c>
      <c r="D215" s="9">
        <v>14</v>
      </c>
      <c r="E215" s="28"/>
      <c r="F215" s="10">
        <f>(D215*0.5)+(E215*0.5)</f>
        <v>7</v>
      </c>
      <c r="G215" s="7"/>
      <c r="H215" s="12">
        <f>((F215*0.7)+(G215*0.3))*0.4</f>
        <v>1.96</v>
      </c>
      <c r="I215" s="3"/>
      <c r="J215" s="3"/>
      <c r="K215" s="3">
        <f>(I215*0.5)+(J215*0.5)</f>
        <v>0</v>
      </c>
      <c r="L215" s="4"/>
      <c r="M215" s="4">
        <f>((K215*0.7)+(L215*0.3))*0.7</f>
        <v>0</v>
      </c>
      <c r="N215" s="2"/>
      <c r="O215" s="5">
        <f>(H215*0.4)+(M215*0.6)</f>
        <v>0.78400000000000003</v>
      </c>
      <c r="P215" s="6" t="s">
        <v>5</v>
      </c>
    </row>
    <row r="216" spans="1:16" ht="15.75" customHeight="1" x14ac:dyDescent="0.25">
      <c r="A216" s="57">
        <v>215</v>
      </c>
      <c r="B216" s="48" t="s">
        <v>51</v>
      </c>
      <c r="C216" s="33">
        <v>6</v>
      </c>
      <c r="D216" s="9">
        <v>15</v>
      </c>
      <c r="E216" s="28"/>
      <c r="F216" s="10">
        <f>(D216*0.5)+(E216*0.5)</f>
        <v>7.5</v>
      </c>
      <c r="G216" s="7"/>
      <c r="H216" s="12">
        <f>((F216*0.7)+(G216*0.3))*0.4</f>
        <v>2.1</v>
      </c>
      <c r="I216" s="3"/>
      <c r="J216" s="3"/>
      <c r="K216" s="3">
        <f>(I216*0.5)+(J216*0.5)</f>
        <v>0</v>
      </c>
      <c r="L216" s="4"/>
      <c r="M216" s="4">
        <f>((K216*0.7)+(L216*0.3))*0.7</f>
        <v>0</v>
      </c>
      <c r="N216" s="2"/>
      <c r="O216" s="5">
        <f>(H216*0.4)+(M216*0.6)</f>
        <v>0.84000000000000008</v>
      </c>
      <c r="P216" s="6" t="s">
        <v>5</v>
      </c>
    </row>
    <row r="217" spans="1:16" ht="15.75" customHeight="1" x14ac:dyDescent="0.25">
      <c r="A217" s="57">
        <v>216</v>
      </c>
      <c r="B217" s="48" t="s">
        <v>52</v>
      </c>
      <c r="C217" s="33">
        <v>16</v>
      </c>
      <c r="D217" s="9">
        <v>14</v>
      </c>
      <c r="E217" s="28"/>
      <c r="F217" s="10">
        <f>(D217*0.5)+(E217*0.5)</f>
        <v>7</v>
      </c>
      <c r="G217" s="7"/>
      <c r="H217" s="12">
        <f>((F217*0.7)+(G217*0.3))*0.4</f>
        <v>1.96</v>
      </c>
      <c r="I217" s="3"/>
      <c r="J217" s="3"/>
      <c r="K217" s="3">
        <f>(I217*0.5)+(J217*0.5)</f>
        <v>0</v>
      </c>
      <c r="L217" s="4"/>
      <c r="M217" s="4">
        <f>((K217*0.7)+(L217*0.3))*0.7</f>
        <v>0</v>
      </c>
      <c r="N217" s="2"/>
      <c r="O217" s="5">
        <f>(H217*0.4)+(M217*0.6)</f>
        <v>0.78400000000000003</v>
      </c>
      <c r="P217" s="6" t="s">
        <v>5</v>
      </c>
    </row>
    <row r="218" spans="1:16" ht="15.75" customHeight="1" x14ac:dyDescent="0.25">
      <c r="A218" s="57">
        <v>217</v>
      </c>
      <c r="B218" s="48" t="s">
        <v>53</v>
      </c>
      <c r="C218" s="33">
        <v>20</v>
      </c>
      <c r="D218" s="9">
        <v>14</v>
      </c>
      <c r="E218" s="28"/>
      <c r="F218" s="10">
        <f>(D218*0.5)+(E218*0.5)</f>
        <v>7</v>
      </c>
      <c r="G218" s="7"/>
      <c r="H218" s="12">
        <f>((F218*0.7)+(G218*0.3))*0.4</f>
        <v>1.96</v>
      </c>
      <c r="I218" s="3"/>
      <c r="J218" s="3"/>
      <c r="K218" s="3">
        <f>(I218*0.5)+(J218*0.5)</f>
        <v>0</v>
      </c>
      <c r="L218" s="4"/>
      <c r="M218" s="4">
        <f>((K218*0.7)+(L218*0.3))*0.7</f>
        <v>0</v>
      </c>
      <c r="N218" s="2"/>
      <c r="O218" s="5">
        <f>(H218*0.4)+(M218*0.6)</f>
        <v>0.78400000000000003</v>
      </c>
      <c r="P218" s="6" t="s">
        <v>5</v>
      </c>
    </row>
    <row r="219" spans="1:16" ht="15.75" customHeight="1" x14ac:dyDescent="0.25">
      <c r="A219" s="57">
        <v>218</v>
      </c>
      <c r="B219" s="44" t="s">
        <v>219</v>
      </c>
      <c r="C219" s="33">
        <v>18</v>
      </c>
      <c r="D219" s="9">
        <v>12</v>
      </c>
      <c r="E219" s="28"/>
      <c r="F219" s="10">
        <f>(D219*0.5)+(E219*0.5)</f>
        <v>6</v>
      </c>
      <c r="G219" s="7"/>
      <c r="H219" s="12">
        <f>((F219*0.7)+(G219*0.3))*0.4</f>
        <v>1.6799999999999997</v>
      </c>
      <c r="I219" s="3"/>
      <c r="J219" s="3"/>
      <c r="K219" s="3">
        <f>(I219*0.5)+(J219*0.5)</f>
        <v>0</v>
      </c>
      <c r="L219" s="4"/>
      <c r="M219" s="4">
        <f>((K219*0.7)+(L219*0.3))*0.7</f>
        <v>0</v>
      </c>
      <c r="N219" s="2"/>
      <c r="O219" s="5">
        <f>(H219*0.4)+(M219*0.6)</f>
        <v>0.67199999999999993</v>
      </c>
      <c r="P219" s="6" t="s">
        <v>5</v>
      </c>
    </row>
    <row r="220" spans="1:16" ht="15.75" customHeight="1" x14ac:dyDescent="0.25">
      <c r="A220" s="57">
        <v>219</v>
      </c>
      <c r="B220" s="48" t="s">
        <v>54</v>
      </c>
      <c r="C220" s="33">
        <v>14</v>
      </c>
      <c r="D220" s="9">
        <v>15</v>
      </c>
      <c r="E220" s="28"/>
      <c r="F220" s="10">
        <f>(D220*0.5)+(E220*0.5)</f>
        <v>7.5</v>
      </c>
      <c r="G220" s="7"/>
      <c r="H220" s="12">
        <f>((F220*0.7)+(G220*0.3))*0.4</f>
        <v>2.1</v>
      </c>
      <c r="I220" s="3"/>
      <c r="J220" s="3"/>
      <c r="K220" s="3">
        <f>(I220*0.5)+(J220*0.5)</f>
        <v>0</v>
      </c>
      <c r="L220" s="4"/>
      <c r="M220" s="4">
        <f>((K220*0.7)+(L220*0.3))*0.7</f>
        <v>0</v>
      </c>
      <c r="N220" s="2"/>
      <c r="O220" s="5">
        <f>(H220*0.4)+(M220*0.6)</f>
        <v>0.84000000000000008</v>
      </c>
      <c r="P220" s="6" t="s">
        <v>5</v>
      </c>
    </row>
    <row r="221" spans="1:16" ht="15.75" customHeight="1" x14ac:dyDescent="0.25">
      <c r="A221" s="57">
        <v>220</v>
      </c>
      <c r="B221" s="48" t="s">
        <v>202</v>
      </c>
      <c r="C221" s="37">
        <v>8</v>
      </c>
      <c r="D221" s="9">
        <v>14</v>
      </c>
      <c r="E221" s="28"/>
      <c r="F221" s="10">
        <f>(D221*0.5)+(E221*0.5)</f>
        <v>7</v>
      </c>
      <c r="G221" s="7"/>
      <c r="H221" s="12">
        <f>((F221*0.7)+(G221*0.3))*0.4</f>
        <v>1.96</v>
      </c>
      <c r="I221" s="3"/>
      <c r="J221" s="3"/>
      <c r="K221" s="3">
        <f>(I221*0.5)+(J221*0.5)</f>
        <v>0</v>
      </c>
      <c r="L221" s="4"/>
      <c r="M221" s="4">
        <f>((K221*0.7)+(L221*0.3))*0.7</f>
        <v>0</v>
      </c>
      <c r="N221" s="2"/>
      <c r="O221" s="5">
        <f>(H221*0.4)+(M221*0.6)</f>
        <v>0.78400000000000003</v>
      </c>
      <c r="P221" s="6" t="s">
        <v>5</v>
      </c>
    </row>
    <row r="222" spans="1:16" ht="15.75" customHeight="1" x14ac:dyDescent="0.25">
      <c r="A222" s="57">
        <v>221</v>
      </c>
      <c r="B222" s="44" t="s">
        <v>263</v>
      </c>
      <c r="C222" s="33" t="s">
        <v>56</v>
      </c>
      <c r="D222" s="34">
        <v>15</v>
      </c>
      <c r="E222" s="28"/>
      <c r="F222" s="10">
        <f>(D222*0.5)+(E222*0.5)</f>
        <v>7.5</v>
      </c>
      <c r="G222" s="7"/>
      <c r="H222" s="12">
        <f>((F222*0.7)+(G222*0.3))*0.4</f>
        <v>2.1</v>
      </c>
      <c r="I222" s="3"/>
      <c r="J222" s="3"/>
      <c r="K222" s="3">
        <f>(I222*0.5)+(J222*0.5)</f>
        <v>0</v>
      </c>
      <c r="L222" s="4"/>
      <c r="M222" s="4">
        <f>((K222*0.7)+(L222*0.3))*0.7</f>
        <v>0</v>
      </c>
      <c r="N222" s="2"/>
      <c r="O222" s="5">
        <f>(H222*0.4)+(M222*0.6)</f>
        <v>0.84000000000000008</v>
      </c>
      <c r="P222" s="6" t="s">
        <v>5</v>
      </c>
    </row>
    <row r="223" spans="1:16" ht="15.75" customHeight="1" x14ac:dyDescent="0.25">
      <c r="A223" s="57">
        <v>222</v>
      </c>
      <c r="B223" s="48" t="s">
        <v>203</v>
      </c>
      <c r="C223" s="37">
        <v>18</v>
      </c>
      <c r="D223" s="9">
        <v>15</v>
      </c>
      <c r="E223" s="28"/>
      <c r="F223" s="10">
        <f>(D223*0.5)+(E223*0.5)</f>
        <v>7.5</v>
      </c>
      <c r="G223" s="7"/>
      <c r="H223" s="12">
        <f>((F223*0.7)+(G223*0.3))*0.4</f>
        <v>2.1</v>
      </c>
      <c r="I223" s="3"/>
      <c r="J223" s="3"/>
      <c r="K223" s="3">
        <f>(I223*0.5)+(J223*0.5)</f>
        <v>0</v>
      </c>
      <c r="L223" s="4"/>
      <c r="M223" s="4">
        <f>((K223*0.7)+(L223*0.3))*0.7</f>
        <v>0</v>
      </c>
      <c r="N223" s="2"/>
      <c r="O223" s="5">
        <f>(H223*0.4)+(M223*0.6)</f>
        <v>0.84000000000000008</v>
      </c>
      <c r="P223" s="6" t="s">
        <v>5</v>
      </c>
    </row>
    <row r="224" spans="1:16" ht="15.75" customHeight="1" x14ac:dyDescent="0.25">
      <c r="A224" s="57">
        <v>223</v>
      </c>
      <c r="B224" s="48" t="s">
        <v>55</v>
      </c>
      <c r="C224" s="33">
        <v>20</v>
      </c>
      <c r="D224" s="9">
        <v>14</v>
      </c>
      <c r="E224" s="28"/>
      <c r="F224" s="10">
        <f>(D224*0.5)+(E224*0.5)</f>
        <v>7</v>
      </c>
      <c r="G224" s="7"/>
      <c r="H224" s="12">
        <f>((F224*0.7)+(G224*0.3))*0.4</f>
        <v>1.96</v>
      </c>
      <c r="I224" s="3"/>
      <c r="J224" s="3"/>
      <c r="K224" s="3">
        <f>(I224*0.5)+(J224*0.5)</f>
        <v>0</v>
      </c>
      <c r="L224" s="4"/>
      <c r="M224" s="4">
        <f>((K224*0.7)+(L224*0.3))*0.7</f>
        <v>0</v>
      </c>
      <c r="N224" s="2"/>
      <c r="O224" s="5">
        <f>(H224*0.4)+(M224*0.6)</f>
        <v>0.78400000000000003</v>
      </c>
      <c r="P224" s="6" t="s">
        <v>5</v>
      </c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autoFilter ref="A1:P1" xr:uid="{00000000-0001-0000-0000-000000000000}"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</autoFilter>
  <sortState xmlns:xlrd2="http://schemas.microsoft.com/office/spreadsheetml/2017/richdata2" ref="A2:D224">
    <sortCondition ref="B2"/>
  </sortState>
  <mergeCells count="2">
    <mergeCell ref="I1:M1"/>
    <mergeCell ref="D1:H1"/>
  </mergeCells>
  <conditionalFormatting sqref="E2:M224">
    <cfRule type="cellIs" dxfId="7" priority="1" operator="lessThan">
      <formula>10.5</formula>
    </cfRule>
    <cfRule type="cellIs" dxfId="6" priority="3" operator="greaterThanOrEqual">
      <formula>10.5</formula>
    </cfRule>
  </conditionalFormatting>
  <conditionalFormatting sqref="G2:H2 L2:M2 H3:H51 M3:M51">
    <cfRule type="cellIs" dxfId="5" priority="19" operator="lessThan">
      <formula>10.5</formula>
    </cfRule>
  </conditionalFormatting>
  <conditionalFormatting sqref="G52:H52 L52:M52 H53:H94 M53:M94">
    <cfRule type="cellIs" dxfId="4" priority="14" operator="lessThan">
      <formula>10.5</formula>
    </cfRule>
  </conditionalFormatting>
  <conditionalFormatting sqref="G95:H95 L95:M95 H96:H138 M96:M138">
    <cfRule type="cellIs" dxfId="3" priority="11" operator="lessThan">
      <formula>10.5</formula>
    </cfRule>
  </conditionalFormatting>
  <conditionalFormatting sqref="G139:H139 L139:M139 H140:H154 M140:M154">
    <cfRule type="cellIs" dxfId="2" priority="8" operator="lessThan">
      <formula>10.5</formula>
    </cfRule>
  </conditionalFormatting>
  <conditionalFormatting sqref="G155:H155 L155:M155 H156:H198 M156:M198">
    <cfRule type="cellIs" dxfId="1" priority="5" operator="lessThan">
      <formula>10.5</formula>
    </cfRule>
  </conditionalFormatting>
  <conditionalFormatting sqref="G199:H199 L199:M199 H200:H224 M200:M224">
    <cfRule type="cellIs" dxfId="0" priority="2" operator="lessThan">
      <formula>10.5</formula>
    </cfRule>
  </conditionalFormatting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2"/>
  <sheetViews>
    <sheetView topLeftCell="A12" zoomScale="85" zoomScaleNormal="85" workbookViewId="0">
      <selection activeCell="M13" sqref="M13"/>
    </sheetView>
  </sheetViews>
  <sheetFormatPr baseColWidth="10" defaultRowHeight="15" x14ac:dyDescent="0.25"/>
  <cols>
    <col min="2" max="2" width="6" customWidth="1"/>
    <col min="3" max="3" width="40.42578125" style="87" bestFit="1" customWidth="1"/>
    <col min="5" max="5" width="10.85546875"/>
    <col min="7" max="7" width="10.85546875"/>
    <col min="9" max="10" width="10.85546875"/>
  </cols>
  <sheetData>
    <row r="1" spans="1:11" x14ac:dyDescent="0.25">
      <c r="C1"/>
    </row>
    <row r="2" spans="1:11" x14ac:dyDescent="0.25">
      <c r="C2"/>
    </row>
    <row r="3" spans="1:11" x14ac:dyDescent="0.25">
      <c r="C3"/>
    </row>
    <row r="4" spans="1:11" x14ac:dyDescent="0.25">
      <c r="C4"/>
    </row>
    <row r="5" spans="1:11" x14ac:dyDescent="0.25">
      <c r="C5"/>
    </row>
    <row r="6" spans="1:11" x14ac:dyDescent="0.25">
      <c r="C6"/>
    </row>
    <row r="7" spans="1:11" x14ac:dyDescent="0.25"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33" customHeight="1" x14ac:dyDescent="0.4">
      <c r="A8" s="13"/>
      <c r="B8" s="107" t="s">
        <v>59</v>
      </c>
      <c r="C8" s="107"/>
      <c r="D8" s="107"/>
      <c r="E8" s="107"/>
      <c r="F8" s="107"/>
      <c r="G8" s="107"/>
      <c r="H8" s="107"/>
      <c r="I8" s="107"/>
      <c r="J8" s="107"/>
      <c r="K8" s="107"/>
    </row>
    <row r="9" spans="1:11" ht="18.75" x14ac:dyDescent="0.25">
      <c r="A9" s="13"/>
      <c r="B9" s="108" t="s">
        <v>0</v>
      </c>
      <c r="C9" s="108" t="s">
        <v>60</v>
      </c>
      <c r="D9" s="110" t="s">
        <v>61</v>
      </c>
      <c r="E9" s="111"/>
      <c r="F9" s="110" t="s">
        <v>62</v>
      </c>
      <c r="G9" s="111"/>
      <c r="H9" s="110" t="s">
        <v>63</v>
      </c>
      <c r="I9" s="111"/>
      <c r="J9" s="110" t="s">
        <v>64</v>
      </c>
      <c r="K9" s="111"/>
    </row>
    <row r="10" spans="1:11" ht="18.75" x14ac:dyDescent="0.25">
      <c r="A10" s="13"/>
      <c r="B10" s="109"/>
      <c r="C10" s="109"/>
      <c r="D10" s="21" t="s">
        <v>290</v>
      </c>
      <c r="E10" s="21" t="s">
        <v>291</v>
      </c>
      <c r="F10" s="21" t="s">
        <v>290</v>
      </c>
      <c r="G10" s="21" t="s">
        <v>291</v>
      </c>
      <c r="H10" s="21" t="s">
        <v>290</v>
      </c>
      <c r="I10" s="21" t="s">
        <v>291</v>
      </c>
      <c r="J10" s="21" t="s">
        <v>290</v>
      </c>
      <c r="K10" s="21" t="s">
        <v>291</v>
      </c>
    </row>
    <row r="11" spans="1:11" s="19" customFormat="1" ht="15.6" customHeight="1" x14ac:dyDescent="0.25">
      <c r="A11" s="18"/>
      <c r="B11" s="104">
        <v>1</v>
      </c>
      <c r="C11" s="94" t="s">
        <v>65</v>
      </c>
      <c r="D11" s="14" t="s">
        <v>66</v>
      </c>
      <c r="E11" s="14" t="s">
        <v>66</v>
      </c>
      <c r="F11" s="14" t="s">
        <v>66</v>
      </c>
      <c r="G11" s="14" t="s">
        <v>66</v>
      </c>
      <c r="H11" s="14" t="s">
        <v>66</v>
      </c>
      <c r="I11" s="14" t="s">
        <v>66</v>
      </c>
      <c r="J11" s="14" t="s">
        <v>66</v>
      </c>
      <c r="K11" s="14" t="s">
        <v>66</v>
      </c>
    </row>
    <row r="12" spans="1:11" s="19" customFormat="1" ht="15.6" customHeight="1" x14ac:dyDescent="0.25">
      <c r="B12" s="103">
        <v>2</v>
      </c>
      <c r="C12" s="88" t="s">
        <v>353</v>
      </c>
      <c r="D12" s="65" t="s">
        <v>66</v>
      </c>
      <c r="E12" s="65" t="s">
        <v>66</v>
      </c>
      <c r="F12" s="65" t="s">
        <v>66</v>
      </c>
      <c r="G12" s="65" t="s">
        <v>66</v>
      </c>
      <c r="H12" s="65" t="s">
        <v>66</v>
      </c>
      <c r="I12" s="65" t="s">
        <v>66</v>
      </c>
      <c r="J12" s="65" t="s">
        <v>66</v>
      </c>
      <c r="K12" s="65" t="s">
        <v>66</v>
      </c>
    </row>
    <row r="13" spans="1:11" s="19" customFormat="1" ht="15.6" customHeight="1" x14ac:dyDescent="0.25">
      <c r="B13" s="58">
        <v>3</v>
      </c>
      <c r="C13" s="89" t="s">
        <v>354</v>
      </c>
      <c r="D13" s="16" t="s">
        <v>66</v>
      </c>
      <c r="E13" s="16" t="s">
        <v>66</v>
      </c>
      <c r="F13" s="16" t="s">
        <v>66</v>
      </c>
      <c r="G13" s="16" t="s">
        <v>66</v>
      </c>
      <c r="H13" s="16" t="s">
        <v>66</v>
      </c>
      <c r="I13" s="16" t="s">
        <v>66</v>
      </c>
      <c r="J13" s="16" t="s">
        <v>66</v>
      </c>
      <c r="K13" s="16" t="s">
        <v>66</v>
      </c>
    </row>
    <row r="14" spans="1:11" s="19" customFormat="1" ht="15.6" customHeight="1" x14ac:dyDescent="0.25">
      <c r="B14" s="104">
        <v>4</v>
      </c>
      <c r="C14" s="94" t="s">
        <v>67</v>
      </c>
      <c r="D14" s="14" t="s">
        <v>66</v>
      </c>
      <c r="E14" s="14" t="s">
        <v>66</v>
      </c>
      <c r="F14" s="15" t="s">
        <v>66</v>
      </c>
      <c r="G14" s="15" t="s">
        <v>66</v>
      </c>
      <c r="H14" s="14" t="s">
        <v>66</v>
      </c>
      <c r="I14" s="14" t="s">
        <v>66</v>
      </c>
      <c r="J14" s="14" t="s">
        <v>66</v>
      </c>
      <c r="K14" s="14" t="s">
        <v>66</v>
      </c>
    </row>
    <row r="15" spans="1:11" s="19" customFormat="1" ht="15.6" customHeight="1" x14ac:dyDescent="0.25">
      <c r="B15" s="104">
        <v>5</v>
      </c>
      <c r="C15" s="88" t="s">
        <v>338</v>
      </c>
      <c r="D15" s="65" t="s">
        <v>66</v>
      </c>
      <c r="E15" s="65" t="s">
        <v>66</v>
      </c>
      <c r="F15" s="65" t="s">
        <v>66</v>
      </c>
      <c r="G15" s="65" t="s">
        <v>66</v>
      </c>
      <c r="H15" s="65" t="s">
        <v>66</v>
      </c>
      <c r="I15" s="65" t="s">
        <v>66</v>
      </c>
      <c r="J15" s="65" t="s">
        <v>66</v>
      </c>
      <c r="K15" s="65" t="s">
        <v>66</v>
      </c>
    </row>
    <row r="16" spans="1:11" s="19" customFormat="1" ht="15.6" customHeight="1" x14ac:dyDescent="0.25">
      <c r="B16" s="103">
        <v>6</v>
      </c>
      <c r="C16" s="94" t="s">
        <v>68</v>
      </c>
      <c r="D16" s="15" t="s">
        <v>66</v>
      </c>
      <c r="E16" s="15" t="s">
        <v>66</v>
      </c>
      <c r="F16" s="14" t="s">
        <v>66</v>
      </c>
      <c r="G16" s="14" t="s">
        <v>66</v>
      </c>
      <c r="H16" s="15" t="s">
        <v>66</v>
      </c>
      <c r="I16" s="15" t="s">
        <v>66</v>
      </c>
      <c r="J16" s="14" t="s">
        <v>66</v>
      </c>
      <c r="K16" s="14" t="s">
        <v>66</v>
      </c>
    </row>
    <row r="17" spans="2:11" s="19" customFormat="1" ht="15.6" customHeight="1" x14ac:dyDescent="0.25">
      <c r="B17" s="58">
        <v>7</v>
      </c>
      <c r="C17" s="94" t="s">
        <v>69</v>
      </c>
      <c r="D17" s="15" t="s">
        <v>66</v>
      </c>
      <c r="E17" s="15" t="s">
        <v>66</v>
      </c>
      <c r="F17" s="14" t="s">
        <v>66</v>
      </c>
      <c r="G17" s="14" t="s">
        <v>66</v>
      </c>
      <c r="H17" s="15" t="s">
        <v>66</v>
      </c>
      <c r="I17" s="15" t="s">
        <v>66</v>
      </c>
      <c r="J17" s="14" t="s">
        <v>66</v>
      </c>
      <c r="K17" s="14" t="s">
        <v>66</v>
      </c>
    </row>
    <row r="18" spans="2:11" s="19" customFormat="1" ht="15.6" customHeight="1" x14ac:dyDescent="0.25">
      <c r="B18" s="104">
        <v>8</v>
      </c>
      <c r="C18" s="89" t="s">
        <v>396</v>
      </c>
      <c r="D18" s="69" t="s">
        <v>71</v>
      </c>
      <c r="E18" s="69" t="s">
        <v>71</v>
      </c>
      <c r="F18" s="69" t="s">
        <v>71</v>
      </c>
      <c r="G18" s="68" t="s">
        <v>66</v>
      </c>
      <c r="H18" s="69" t="s">
        <v>71</v>
      </c>
      <c r="I18" s="68" t="s">
        <v>66</v>
      </c>
      <c r="J18" s="68" t="s">
        <v>66</v>
      </c>
      <c r="K18" s="69" t="s">
        <v>71</v>
      </c>
    </row>
    <row r="19" spans="2:11" s="19" customFormat="1" ht="15.6" customHeight="1" x14ac:dyDescent="0.25">
      <c r="B19" s="104">
        <v>9</v>
      </c>
      <c r="C19" s="94" t="s">
        <v>70</v>
      </c>
      <c r="D19" s="15" t="s">
        <v>71</v>
      </c>
      <c r="E19" s="15" t="s">
        <v>71</v>
      </c>
      <c r="F19" s="14" t="s">
        <v>66</v>
      </c>
      <c r="G19" s="14" t="s">
        <v>66</v>
      </c>
      <c r="H19" s="15" t="s">
        <v>66</v>
      </c>
      <c r="I19" s="15" t="s">
        <v>66</v>
      </c>
      <c r="J19" s="14" t="s">
        <v>66</v>
      </c>
      <c r="K19" s="14" t="s">
        <v>66</v>
      </c>
    </row>
    <row r="20" spans="2:11" s="19" customFormat="1" ht="15.6" customHeight="1" x14ac:dyDescent="0.25">
      <c r="B20" s="103">
        <v>10</v>
      </c>
      <c r="C20" s="95" t="s">
        <v>294</v>
      </c>
      <c r="D20" s="62" t="s">
        <v>66</v>
      </c>
      <c r="E20" s="62" t="s">
        <v>66</v>
      </c>
      <c r="F20" s="62" t="s">
        <v>66</v>
      </c>
      <c r="G20" s="62" t="s">
        <v>66</v>
      </c>
      <c r="H20" s="62" t="s">
        <v>66</v>
      </c>
      <c r="I20" s="62" t="s">
        <v>66</v>
      </c>
      <c r="J20" s="62" t="s">
        <v>66</v>
      </c>
      <c r="K20" s="62" t="s">
        <v>66</v>
      </c>
    </row>
    <row r="21" spans="2:11" s="19" customFormat="1" ht="15.6" customHeight="1" x14ac:dyDescent="0.25">
      <c r="B21" s="58">
        <v>11</v>
      </c>
      <c r="C21" s="89" t="s">
        <v>355</v>
      </c>
      <c r="D21" s="16" t="s">
        <v>66</v>
      </c>
      <c r="E21" s="16" t="s">
        <v>66</v>
      </c>
      <c r="F21" s="16" t="s">
        <v>66</v>
      </c>
      <c r="G21" s="16" t="s">
        <v>66</v>
      </c>
      <c r="H21" s="16" t="s">
        <v>66</v>
      </c>
      <c r="I21" s="16" t="s">
        <v>66</v>
      </c>
      <c r="J21" s="16" t="s">
        <v>66</v>
      </c>
      <c r="K21" s="16" t="s">
        <v>66</v>
      </c>
    </row>
    <row r="22" spans="2:11" s="19" customFormat="1" ht="15.6" customHeight="1" x14ac:dyDescent="0.25">
      <c r="B22" s="104">
        <v>12</v>
      </c>
      <c r="C22" s="88" t="s">
        <v>397</v>
      </c>
      <c r="D22" s="70" t="s">
        <v>66</v>
      </c>
      <c r="E22" s="70" t="s">
        <v>66</v>
      </c>
      <c r="F22" s="70" t="s">
        <v>66</v>
      </c>
      <c r="G22" s="70" t="s">
        <v>66</v>
      </c>
      <c r="H22" s="70" t="s">
        <v>66</v>
      </c>
      <c r="I22" s="70" t="s">
        <v>66</v>
      </c>
      <c r="J22" s="70" t="s">
        <v>66</v>
      </c>
      <c r="K22" s="70" t="s">
        <v>66</v>
      </c>
    </row>
    <row r="23" spans="2:11" s="19" customFormat="1" ht="15.6" customHeight="1" x14ac:dyDescent="0.25">
      <c r="B23" s="104">
        <v>13</v>
      </c>
      <c r="C23" s="95" t="s">
        <v>295</v>
      </c>
      <c r="D23" s="62" t="s">
        <v>66</v>
      </c>
      <c r="E23" s="62" t="s">
        <v>66</v>
      </c>
      <c r="F23" s="62" t="s">
        <v>66</v>
      </c>
      <c r="G23" s="62" t="s">
        <v>66</v>
      </c>
      <c r="H23" s="62" t="s">
        <v>66</v>
      </c>
      <c r="I23" s="62" t="s">
        <v>66</v>
      </c>
      <c r="J23" s="62" t="s">
        <v>66</v>
      </c>
      <c r="K23" s="62" t="s">
        <v>66</v>
      </c>
    </row>
    <row r="24" spans="2:11" s="19" customFormat="1" ht="15.6" customHeight="1" x14ac:dyDescent="0.25">
      <c r="B24" s="103">
        <v>14</v>
      </c>
      <c r="C24" s="94" t="s">
        <v>72</v>
      </c>
      <c r="D24" s="14" t="s">
        <v>66</v>
      </c>
      <c r="E24" s="14" t="s">
        <v>66</v>
      </c>
      <c r="F24" s="14" t="s">
        <v>66</v>
      </c>
      <c r="G24" s="14" t="s">
        <v>66</v>
      </c>
      <c r="H24" s="14" t="s">
        <v>66</v>
      </c>
      <c r="I24" s="14" t="s">
        <v>66</v>
      </c>
      <c r="J24" s="14" t="s">
        <v>66</v>
      </c>
      <c r="K24" s="14" t="s">
        <v>66</v>
      </c>
    </row>
    <row r="25" spans="2:11" s="19" customFormat="1" ht="15.6" customHeight="1" x14ac:dyDescent="0.25">
      <c r="B25" s="58">
        <v>15</v>
      </c>
      <c r="C25" s="95" t="s">
        <v>296</v>
      </c>
      <c r="D25" s="62" t="s">
        <v>66</v>
      </c>
      <c r="E25" s="62" t="s">
        <v>66</v>
      </c>
      <c r="F25" s="62" t="s">
        <v>66</v>
      </c>
      <c r="G25" s="62" t="s">
        <v>66</v>
      </c>
      <c r="H25" s="62" t="s">
        <v>66</v>
      </c>
      <c r="I25" s="62" t="s">
        <v>66</v>
      </c>
      <c r="J25" s="62" t="s">
        <v>66</v>
      </c>
      <c r="K25" s="62" t="s">
        <v>66</v>
      </c>
    </row>
    <row r="26" spans="2:11" s="19" customFormat="1" ht="15.6" customHeight="1" x14ac:dyDescent="0.25">
      <c r="B26" s="104">
        <v>16</v>
      </c>
      <c r="C26" s="88" t="s">
        <v>339</v>
      </c>
      <c r="D26" s="65" t="s">
        <v>66</v>
      </c>
      <c r="E26" s="65" t="s">
        <v>66</v>
      </c>
      <c r="F26" s="65" t="s">
        <v>66</v>
      </c>
      <c r="G26" s="65" t="s">
        <v>66</v>
      </c>
      <c r="H26" s="65" t="s">
        <v>66</v>
      </c>
      <c r="I26" s="65" t="s">
        <v>66</v>
      </c>
      <c r="J26" s="65" t="s">
        <v>66</v>
      </c>
      <c r="K26" s="65" t="s">
        <v>66</v>
      </c>
    </row>
    <row r="27" spans="2:11" s="19" customFormat="1" ht="15.6" customHeight="1" x14ac:dyDescent="0.25">
      <c r="B27" s="104">
        <v>17</v>
      </c>
      <c r="C27" s="89" t="s">
        <v>356</v>
      </c>
      <c r="D27" s="16" t="s">
        <v>66</v>
      </c>
      <c r="E27" s="16" t="s">
        <v>66</v>
      </c>
      <c r="F27" s="16" t="s">
        <v>66</v>
      </c>
      <c r="G27" s="16" t="s">
        <v>66</v>
      </c>
      <c r="H27" s="16" t="s">
        <v>66</v>
      </c>
      <c r="I27" s="16" t="s">
        <v>66</v>
      </c>
      <c r="J27" s="16" t="s">
        <v>66</v>
      </c>
      <c r="K27" s="16" t="s">
        <v>66</v>
      </c>
    </row>
    <row r="28" spans="2:11" s="19" customFormat="1" ht="15.6" customHeight="1" x14ac:dyDescent="0.25">
      <c r="B28" s="103">
        <v>18</v>
      </c>
      <c r="C28" s="90" t="s">
        <v>398</v>
      </c>
      <c r="D28" s="71" t="s">
        <v>66</v>
      </c>
      <c r="E28" s="71" t="s">
        <v>66</v>
      </c>
      <c r="F28" s="71" t="s">
        <v>66</v>
      </c>
      <c r="G28" s="71" t="s">
        <v>66</v>
      </c>
      <c r="H28" s="71" t="s">
        <v>66</v>
      </c>
      <c r="I28" s="71" t="s">
        <v>66</v>
      </c>
      <c r="J28" s="71" t="s">
        <v>66</v>
      </c>
      <c r="K28" s="71" t="s">
        <v>66</v>
      </c>
    </row>
    <row r="29" spans="2:11" s="19" customFormat="1" ht="15.6" customHeight="1" x14ac:dyDescent="0.25">
      <c r="B29" s="58">
        <v>19</v>
      </c>
      <c r="C29" s="94" t="s">
        <v>73</v>
      </c>
      <c r="D29" s="14" t="s">
        <v>66</v>
      </c>
      <c r="E29" s="14" t="s">
        <v>66</v>
      </c>
      <c r="F29" s="15" t="s">
        <v>66</v>
      </c>
      <c r="G29" s="15" t="s">
        <v>66</v>
      </c>
      <c r="H29" s="14" t="s">
        <v>66</v>
      </c>
      <c r="I29" s="14" t="s">
        <v>66</v>
      </c>
      <c r="J29" s="14" t="s">
        <v>66</v>
      </c>
      <c r="K29" s="14" t="s">
        <v>66</v>
      </c>
    </row>
    <row r="30" spans="2:11" s="19" customFormat="1" ht="15.6" customHeight="1" x14ac:dyDescent="0.25">
      <c r="B30" s="104">
        <v>20</v>
      </c>
      <c r="C30" s="95" t="s">
        <v>297</v>
      </c>
      <c r="D30" s="62" t="s">
        <v>66</v>
      </c>
      <c r="E30" s="62" t="s">
        <v>66</v>
      </c>
      <c r="F30" s="62" t="s">
        <v>66</v>
      </c>
      <c r="G30" s="62" t="s">
        <v>66</v>
      </c>
      <c r="H30" s="62" t="s">
        <v>66</v>
      </c>
      <c r="I30" s="62" t="s">
        <v>66</v>
      </c>
      <c r="J30" s="62" t="s">
        <v>66</v>
      </c>
      <c r="K30" s="62" t="s">
        <v>66</v>
      </c>
    </row>
    <row r="31" spans="2:11" s="19" customFormat="1" ht="15.6" customHeight="1" x14ac:dyDescent="0.25">
      <c r="B31" s="104">
        <v>21</v>
      </c>
      <c r="C31" s="94" t="s">
        <v>74</v>
      </c>
      <c r="D31" s="15" t="s">
        <v>66</v>
      </c>
      <c r="E31" s="15" t="s">
        <v>66</v>
      </c>
      <c r="F31" s="14" t="s">
        <v>66</v>
      </c>
      <c r="G31" s="14" t="s">
        <v>66</v>
      </c>
      <c r="H31" s="15" t="s">
        <v>66</v>
      </c>
      <c r="I31" s="15" t="s">
        <v>66</v>
      </c>
      <c r="J31" s="14" t="s">
        <v>66</v>
      </c>
      <c r="K31" s="14" t="s">
        <v>66</v>
      </c>
    </row>
    <row r="32" spans="2:11" s="19" customFormat="1" ht="15.6" customHeight="1" x14ac:dyDescent="0.25">
      <c r="B32" s="103">
        <v>22</v>
      </c>
      <c r="C32" s="89" t="s">
        <v>337</v>
      </c>
      <c r="D32" s="64" t="s">
        <v>71</v>
      </c>
      <c r="E32" s="16" t="s">
        <v>66</v>
      </c>
      <c r="F32" s="16" t="s">
        <v>66</v>
      </c>
      <c r="G32" s="16" t="s">
        <v>66</v>
      </c>
      <c r="H32" s="16" t="s">
        <v>66</v>
      </c>
      <c r="I32" s="16" t="s">
        <v>66</v>
      </c>
      <c r="J32" s="16" t="s">
        <v>66</v>
      </c>
      <c r="K32" s="16" t="s">
        <v>66</v>
      </c>
    </row>
    <row r="33" spans="2:11" s="19" customFormat="1" ht="15.6" customHeight="1" x14ac:dyDescent="0.25">
      <c r="B33" s="58">
        <v>23</v>
      </c>
      <c r="C33" s="88" t="s">
        <v>399</v>
      </c>
      <c r="D33" s="70" t="s">
        <v>66</v>
      </c>
      <c r="E33" s="70" t="s">
        <v>66</v>
      </c>
      <c r="F33" s="70" t="s">
        <v>66</v>
      </c>
      <c r="G33" s="70" t="s">
        <v>66</v>
      </c>
      <c r="H33" s="70" t="s">
        <v>66</v>
      </c>
      <c r="I33" s="70" t="s">
        <v>66</v>
      </c>
      <c r="J33" s="70" t="s">
        <v>66</v>
      </c>
      <c r="K33" s="70" t="s">
        <v>66</v>
      </c>
    </row>
    <row r="34" spans="2:11" s="19" customFormat="1" ht="15.6" customHeight="1" x14ac:dyDescent="0.25">
      <c r="B34" s="104">
        <v>24</v>
      </c>
      <c r="C34" s="89" t="s">
        <v>357</v>
      </c>
      <c r="D34" s="16" t="s">
        <v>66</v>
      </c>
      <c r="E34" s="16" t="s">
        <v>66</v>
      </c>
      <c r="F34" s="16" t="s">
        <v>66</v>
      </c>
      <c r="G34" s="16" t="s">
        <v>66</v>
      </c>
      <c r="H34" s="16" t="s">
        <v>66</v>
      </c>
      <c r="I34" s="16" t="s">
        <v>66</v>
      </c>
      <c r="J34" s="16" t="s">
        <v>66</v>
      </c>
      <c r="K34" s="16" t="s">
        <v>66</v>
      </c>
    </row>
    <row r="35" spans="2:11" s="19" customFormat="1" ht="15.6" customHeight="1" x14ac:dyDescent="0.25">
      <c r="B35" s="104">
        <v>25</v>
      </c>
      <c r="C35" s="89" t="s">
        <v>358</v>
      </c>
      <c r="D35" s="16" t="s">
        <v>66</v>
      </c>
      <c r="E35" s="16" t="s">
        <v>66</v>
      </c>
      <c r="F35" s="16" t="s">
        <v>66</v>
      </c>
      <c r="G35" s="16" t="s">
        <v>66</v>
      </c>
      <c r="H35" s="64" t="s">
        <v>71</v>
      </c>
      <c r="I35" s="64" t="s">
        <v>71</v>
      </c>
      <c r="J35" s="64" t="s">
        <v>71</v>
      </c>
      <c r="K35" s="64" t="s">
        <v>71</v>
      </c>
    </row>
    <row r="36" spans="2:11" s="19" customFormat="1" ht="15.6" customHeight="1" x14ac:dyDescent="0.25">
      <c r="B36" s="103">
        <v>26</v>
      </c>
      <c r="C36" s="89" t="s">
        <v>340</v>
      </c>
      <c r="D36" s="16" t="s">
        <v>66</v>
      </c>
      <c r="E36" s="16" t="s">
        <v>66</v>
      </c>
      <c r="F36" s="64" t="s">
        <v>71</v>
      </c>
      <c r="G36" s="16" t="s">
        <v>66</v>
      </c>
      <c r="H36" s="64" t="s">
        <v>71</v>
      </c>
      <c r="I36" s="64" t="s">
        <v>71</v>
      </c>
      <c r="J36" s="64" t="s">
        <v>71</v>
      </c>
      <c r="K36" s="64" t="s">
        <v>71</v>
      </c>
    </row>
    <row r="37" spans="2:11" s="19" customFormat="1" ht="15.6" customHeight="1" x14ac:dyDescent="0.25">
      <c r="B37" s="58">
        <v>27</v>
      </c>
      <c r="C37" s="89" t="s">
        <v>400</v>
      </c>
      <c r="D37" s="68" t="s">
        <v>66</v>
      </c>
      <c r="E37" s="68" t="s">
        <v>66</v>
      </c>
      <c r="F37" s="69" t="s">
        <v>71</v>
      </c>
      <c r="G37" s="68" t="s">
        <v>66</v>
      </c>
      <c r="H37" s="69" t="s">
        <v>71</v>
      </c>
      <c r="I37" s="68" t="s">
        <v>66</v>
      </c>
      <c r="J37" s="68" t="s">
        <v>66</v>
      </c>
      <c r="K37" s="68" t="s">
        <v>66</v>
      </c>
    </row>
    <row r="38" spans="2:11" s="19" customFormat="1" ht="15.6" customHeight="1" x14ac:dyDescent="0.25">
      <c r="B38" s="104">
        <v>28</v>
      </c>
      <c r="C38" s="95" t="s">
        <v>298</v>
      </c>
      <c r="D38" s="62" t="s">
        <v>66</v>
      </c>
      <c r="E38" s="62" t="s">
        <v>66</v>
      </c>
      <c r="F38" s="62" t="s">
        <v>66</v>
      </c>
      <c r="G38" s="62" t="s">
        <v>66</v>
      </c>
      <c r="H38" s="62" t="s">
        <v>66</v>
      </c>
      <c r="I38" s="62" t="s">
        <v>66</v>
      </c>
      <c r="J38" s="62" t="s">
        <v>66</v>
      </c>
      <c r="K38" s="62" t="s">
        <v>66</v>
      </c>
    </row>
    <row r="39" spans="2:11" s="19" customFormat="1" ht="15.6" customHeight="1" x14ac:dyDescent="0.25">
      <c r="B39" s="104">
        <v>29</v>
      </c>
      <c r="C39" s="89" t="s">
        <v>359</v>
      </c>
      <c r="D39" s="16" t="s">
        <v>66</v>
      </c>
      <c r="E39" s="16" t="s">
        <v>66</v>
      </c>
      <c r="F39" s="16" t="s">
        <v>66</v>
      </c>
      <c r="G39" s="16" t="s">
        <v>66</v>
      </c>
      <c r="H39" s="16" t="s">
        <v>66</v>
      </c>
      <c r="I39" s="16" t="s">
        <v>66</v>
      </c>
      <c r="J39" s="16" t="s">
        <v>66</v>
      </c>
      <c r="K39" s="16" t="s">
        <v>66</v>
      </c>
    </row>
    <row r="40" spans="2:11" s="19" customFormat="1" ht="15.6" customHeight="1" x14ac:dyDescent="0.25">
      <c r="B40" s="103">
        <v>30</v>
      </c>
      <c r="C40" s="95" t="s">
        <v>299</v>
      </c>
      <c r="D40" s="62" t="s">
        <v>66</v>
      </c>
      <c r="E40" s="62" t="s">
        <v>66</v>
      </c>
      <c r="F40" s="62" t="s">
        <v>66</v>
      </c>
      <c r="G40" s="62" t="s">
        <v>66</v>
      </c>
      <c r="H40" s="62" t="s">
        <v>66</v>
      </c>
      <c r="I40" s="62" t="s">
        <v>66</v>
      </c>
      <c r="J40" s="62" t="s">
        <v>66</v>
      </c>
      <c r="K40" s="62" t="s">
        <v>66</v>
      </c>
    </row>
    <row r="41" spans="2:11" s="19" customFormat="1" ht="15.6" customHeight="1" x14ac:dyDescent="0.25">
      <c r="B41" s="58">
        <v>31</v>
      </c>
      <c r="C41" s="95" t="s">
        <v>300</v>
      </c>
      <c r="D41" s="62" t="s">
        <v>66</v>
      </c>
      <c r="E41" s="62" t="s">
        <v>66</v>
      </c>
      <c r="F41" s="62" t="s">
        <v>66</v>
      </c>
      <c r="G41" s="62" t="s">
        <v>66</v>
      </c>
      <c r="H41" s="62" t="s">
        <v>66</v>
      </c>
      <c r="I41" s="62" t="s">
        <v>66</v>
      </c>
      <c r="J41" s="62" t="s">
        <v>66</v>
      </c>
      <c r="K41" s="62" t="s">
        <v>66</v>
      </c>
    </row>
    <row r="42" spans="2:11" s="19" customFormat="1" ht="15.6" customHeight="1" x14ac:dyDescent="0.25">
      <c r="B42" s="104">
        <v>32</v>
      </c>
      <c r="C42" s="94" t="s">
        <v>75</v>
      </c>
      <c r="D42" s="14" t="s">
        <v>66</v>
      </c>
      <c r="E42" s="14" t="s">
        <v>66</v>
      </c>
      <c r="F42" s="16" t="s">
        <v>66</v>
      </c>
      <c r="G42" s="16" t="s">
        <v>66</v>
      </c>
      <c r="H42" s="14" t="s">
        <v>66</v>
      </c>
      <c r="I42" s="14" t="s">
        <v>66</v>
      </c>
      <c r="J42" s="14" t="s">
        <v>66</v>
      </c>
      <c r="K42" s="14" t="s">
        <v>66</v>
      </c>
    </row>
    <row r="43" spans="2:11" s="19" customFormat="1" ht="15.6" customHeight="1" x14ac:dyDescent="0.25">
      <c r="B43" s="104">
        <v>33</v>
      </c>
      <c r="C43" s="89" t="s">
        <v>341</v>
      </c>
      <c r="D43" s="64" t="s">
        <v>71</v>
      </c>
      <c r="E43" s="16" t="s">
        <v>66</v>
      </c>
      <c r="F43" s="16" t="s">
        <v>66</v>
      </c>
      <c r="G43" s="16" t="s">
        <v>66</v>
      </c>
      <c r="H43" s="16" t="s">
        <v>66</v>
      </c>
      <c r="I43" s="16" t="s">
        <v>66</v>
      </c>
      <c r="J43" s="16" t="s">
        <v>66</v>
      </c>
      <c r="K43" s="16" t="s">
        <v>66</v>
      </c>
    </row>
    <row r="44" spans="2:11" s="19" customFormat="1" ht="15.6" customHeight="1" x14ac:dyDescent="0.25">
      <c r="B44" s="103">
        <v>34</v>
      </c>
      <c r="C44" s="95" t="s">
        <v>301</v>
      </c>
      <c r="D44" s="62" t="s">
        <v>66</v>
      </c>
      <c r="E44" s="62" t="s">
        <v>66</v>
      </c>
      <c r="F44" s="63" t="s">
        <v>66</v>
      </c>
      <c r="G44" s="63" t="s">
        <v>66</v>
      </c>
      <c r="H44" s="62" t="s">
        <v>66</v>
      </c>
      <c r="I44" s="62" t="s">
        <v>66</v>
      </c>
      <c r="J44" s="62" t="s">
        <v>66</v>
      </c>
      <c r="K44" s="62" t="s">
        <v>66</v>
      </c>
    </row>
    <row r="45" spans="2:11" s="19" customFormat="1" ht="15.6" customHeight="1" x14ac:dyDescent="0.25">
      <c r="B45" s="58">
        <v>35</v>
      </c>
      <c r="C45" s="94" t="s">
        <v>76</v>
      </c>
      <c r="D45" s="15" t="s">
        <v>66</v>
      </c>
      <c r="E45" s="15" t="s">
        <v>66</v>
      </c>
      <c r="F45" s="16" t="s">
        <v>66</v>
      </c>
      <c r="G45" s="16" t="s">
        <v>66</v>
      </c>
      <c r="H45" s="15" t="s">
        <v>66</v>
      </c>
      <c r="I45" s="15" t="s">
        <v>66</v>
      </c>
      <c r="J45" s="14" t="s">
        <v>66</v>
      </c>
      <c r="K45" s="14" t="s">
        <v>66</v>
      </c>
    </row>
    <row r="46" spans="2:11" s="19" customFormat="1" ht="15.6" customHeight="1" x14ac:dyDescent="0.25">
      <c r="B46" s="104">
        <v>36</v>
      </c>
      <c r="C46" s="89" t="s">
        <v>360</v>
      </c>
      <c r="D46" s="16" t="s">
        <v>66</v>
      </c>
      <c r="E46" s="16" t="s">
        <v>66</v>
      </c>
      <c r="F46" s="16" t="s">
        <v>66</v>
      </c>
      <c r="G46" s="16" t="s">
        <v>66</v>
      </c>
      <c r="H46" s="16" t="s">
        <v>66</v>
      </c>
      <c r="I46" s="16" t="s">
        <v>66</v>
      </c>
      <c r="J46" s="16" t="s">
        <v>66</v>
      </c>
      <c r="K46" s="16" t="s">
        <v>66</v>
      </c>
    </row>
    <row r="47" spans="2:11" s="19" customFormat="1" ht="15.6" customHeight="1" x14ac:dyDescent="0.25">
      <c r="B47" s="104">
        <v>37</v>
      </c>
      <c r="C47" s="88" t="s">
        <v>361</v>
      </c>
      <c r="D47" s="66" t="s">
        <v>71</v>
      </c>
      <c r="E47" s="66" t="s">
        <v>71</v>
      </c>
      <c r="F47" s="66" t="s">
        <v>71</v>
      </c>
      <c r="G47" s="66" t="s">
        <v>71</v>
      </c>
      <c r="H47" s="66" t="s">
        <v>71</v>
      </c>
      <c r="I47" s="66" t="s">
        <v>71</v>
      </c>
      <c r="J47" s="66" t="s">
        <v>71</v>
      </c>
      <c r="K47" s="66" t="s">
        <v>71</v>
      </c>
    </row>
    <row r="48" spans="2:11" s="19" customFormat="1" ht="15.6" customHeight="1" x14ac:dyDescent="0.25">
      <c r="B48" s="103">
        <v>38</v>
      </c>
      <c r="C48" s="94" t="s">
        <v>77</v>
      </c>
      <c r="D48" s="15" t="s">
        <v>66</v>
      </c>
      <c r="E48" s="15" t="s">
        <v>66</v>
      </c>
      <c r="F48" s="17" t="s">
        <v>66</v>
      </c>
      <c r="G48" s="17" t="s">
        <v>66</v>
      </c>
      <c r="H48" s="15" t="s">
        <v>66</v>
      </c>
      <c r="I48" s="15" t="s">
        <v>66</v>
      </c>
      <c r="J48" s="14" t="s">
        <v>66</v>
      </c>
      <c r="K48" s="14" t="s">
        <v>66</v>
      </c>
    </row>
    <row r="49" spans="2:11" s="19" customFormat="1" ht="15.6" customHeight="1" x14ac:dyDescent="0.25">
      <c r="B49" s="58">
        <v>39</v>
      </c>
      <c r="C49" s="89" t="s">
        <v>401</v>
      </c>
      <c r="D49" s="68" t="s">
        <v>66</v>
      </c>
      <c r="E49" s="68" t="s">
        <v>66</v>
      </c>
      <c r="F49" s="68" t="s">
        <v>66</v>
      </c>
      <c r="G49" s="68" t="s">
        <v>66</v>
      </c>
      <c r="H49" s="68" t="s">
        <v>66</v>
      </c>
      <c r="I49" s="68" t="s">
        <v>66</v>
      </c>
      <c r="J49" s="68" t="s">
        <v>66</v>
      </c>
      <c r="K49" s="68" t="s">
        <v>66</v>
      </c>
    </row>
    <row r="50" spans="2:11" s="19" customFormat="1" ht="15.6" customHeight="1" x14ac:dyDescent="0.25">
      <c r="B50" s="104">
        <v>40</v>
      </c>
      <c r="C50" s="89" t="s">
        <v>362</v>
      </c>
      <c r="D50" s="16" t="s">
        <v>66</v>
      </c>
      <c r="E50" s="16" t="s">
        <v>66</v>
      </c>
      <c r="F50" s="16" t="s">
        <v>66</v>
      </c>
      <c r="G50" s="16" t="s">
        <v>66</v>
      </c>
      <c r="H50" s="16" t="s">
        <v>66</v>
      </c>
      <c r="I50" s="16" t="s">
        <v>66</v>
      </c>
      <c r="J50" s="16" t="s">
        <v>66</v>
      </c>
      <c r="K50" s="16" t="s">
        <v>66</v>
      </c>
    </row>
    <row r="51" spans="2:11" s="19" customFormat="1" ht="15.6" customHeight="1" x14ac:dyDescent="0.25">
      <c r="B51" s="104">
        <v>41</v>
      </c>
      <c r="C51" s="94" t="s">
        <v>78</v>
      </c>
      <c r="D51" s="15" t="s">
        <v>66</v>
      </c>
      <c r="E51" s="15" t="s">
        <v>66</v>
      </c>
      <c r="F51" s="16" t="s">
        <v>66</v>
      </c>
      <c r="G51" s="16" t="s">
        <v>66</v>
      </c>
      <c r="H51" s="15" t="s">
        <v>66</v>
      </c>
      <c r="I51" s="15" t="s">
        <v>66</v>
      </c>
      <c r="J51" s="14" t="s">
        <v>66</v>
      </c>
      <c r="K51" s="14" t="s">
        <v>66</v>
      </c>
    </row>
    <row r="52" spans="2:11" s="19" customFormat="1" ht="15.6" customHeight="1" x14ac:dyDescent="0.25">
      <c r="B52" s="103">
        <v>42</v>
      </c>
      <c r="C52" s="94" t="s">
        <v>79</v>
      </c>
      <c r="D52" s="14" t="s">
        <v>66</v>
      </c>
      <c r="E52" s="14" t="s">
        <v>66</v>
      </c>
      <c r="F52" s="17" t="s">
        <v>66</v>
      </c>
      <c r="G52" s="17" t="s">
        <v>66</v>
      </c>
      <c r="H52" s="14" t="s">
        <v>66</v>
      </c>
      <c r="I52" s="14" t="s">
        <v>66</v>
      </c>
      <c r="J52" s="14" t="s">
        <v>66</v>
      </c>
      <c r="K52" s="14" t="s">
        <v>66</v>
      </c>
    </row>
    <row r="53" spans="2:11" s="19" customFormat="1" ht="15.6" customHeight="1" x14ac:dyDescent="0.25">
      <c r="B53" s="58">
        <v>43</v>
      </c>
      <c r="C53" s="95" t="s">
        <v>302</v>
      </c>
      <c r="D53" s="62" t="s">
        <v>66</v>
      </c>
      <c r="E53" s="62" t="s">
        <v>66</v>
      </c>
      <c r="F53" s="63" t="s">
        <v>66</v>
      </c>
      <c r="G53" s="63" t="s">
        <v>66</v>
      </c>
      <c r="H53" s="62" t="s">
        <v>66</v>
      </c>
      <c r="I53" s="62" t="s">
        <v>66</v>
      </c>
      <c r="J53" s="62" t="s">
        <v>66</v>
      </c>
      <c r="K53" s="62" t="s">
        <v>66</v>
      </c>
    </row>
    <row r="54" spans="2:11" s="19" customFormat="1" ht="15.6" customHeight="1" x14ac:dyDescent="0.25">
      <c r="B54" s="104">
        <v>44</v>
      </c>
      <c r="C54" s="95" t="s">
        <v>303</v>
      </c>
      <c r="D54" s="62" t="s">
        <v>66</v>
      </c>
      <c r="E54" s="62" t="s">
        <v>66</v>
      </c>
      <c r="F54" s="63" t="s">
        <v>66</v>
      </c>
      <c r="G54" s="63" t="s">
        <v>66</v>
      </c>
      <c r="H54" s="62" t="s">
        <v>66</v>
      </c>
      <c r="I54" s="62" t="s">
        <v>66</v>
      </c>
      <c r="J54" s="62" t="s">
        <v>66</v>
      </c>
      <c r="K54" s="62" t="s">
        <v>66</v>
      </c>
    </row>
    <row r="55" spans="2:11" s="19" customFormat="1" ht="15.6" customHeight="1" x14ac:dyDescent="0.25">
      <c r="B55" s="104">
        <v>45</v>
      </c>
      <c r="C55" s="89" t="s">
        <v>363</v>
      </c>
      <c r="D55" s="16" t="s">
        <v>66</v>
      </c>
      <c r="E55" s="16" t="s">
        <v>66</v>
      </c>
      <c r="F55" s="16" t="s">
        <v>66</v>
      </c>
      <c r="G55" s="16" t="s">
        <v>66</v>
      </c>
      <c r="H55" s="16" t="s">
        <v>66</v>
      </c>
      <c r="I55" s="16" t="s">
        <v>66</v>
      </c>
      <c r="J55" s="64" t="s">
        <v>71</v>
      </c>
      <c r="K55" s="64" t="s">
        <v>71</v>
      </c>
    </row>
    <row r="56" spans="2:11" s="19" customFormat="1" ht="15.6" customHeight="1" x14ac:dyDescent="0.25">
      <c r="B56" s="103">
        <v>46</v>
      </c>
      <c r="C56" s="88" t="s">
        <v>364</v>
      </c>
      <c r="D56" s="65" t="s">
        <v>66</v>
      </c>
      <c r="E56" s="65" t="s">
        <v>66</v>
      </c>
      <c r="F56" s="65" t="s">
        <v>66</v>
      </c>
      <c r="G56" s="65" t="s">
        <v>66</v>
      </c>
      <c r="H56" s="65" t="s">
        <v>66</v>
      </c>
      <c r="I56" s="65" t="s">
        <v>66</v>
      </c>
      <c r="J56" s="65" t="s">
        <v>66</v>
      </c>
      <c r="K56" s="65" t="s">
        <v>66</v>
      </c>
    </row>
    <row r="57" spans="2:11" s="19" customFormat="1" ht="15.6" customHeight="1" x14ac:dyDescent="0.25">
      <c r="B57" s="58">
        <v>47</v>
      </c>
      <c r="C57" s="89" t="s">
        <v>402</v>
      </c>
      <c r="D57" s="68" t="s">
        <v>66</v>
      </c>
      <c r="E57" s="68" t="s">
        <v>66</v>
      </c>
      <c r="F57" s="68" t="s">
        <v>66</v>
      </c>
      <c r="G57" s="68" t="s">
        <v>66</v>
      </c>
      <c r="H57" s="68" t="s">
        <v>66</v>
      </c>
      <c r="I57" s="68" t="s">
        <v>66</v>
      </c>
      <c r="J57" s="68" t="s">
        <v>66</v>
      </c>
      <c r="K57" s="68" t="s">
        <v>66</v>
      </c>
    </row>
    <row r="58" spans="2:11" s="19" customFormat="1" ht="15.6" customHeight="1" x14ac:dyDescent="0.25">
      <c r="B58" s="104">
        <v>48</v>
      </c>
      <c r="C58" s="94" t="s">
        <v>80</v>
      </c>
      <c r="D58" s="15" t="s">
        <v>71</v>
      </c>
      <c r="E58" s="15" t="s">
        <v>71</v>
      </c>
      <c r="F58" s="17" t="s">
        <v>71</v>
      </c>
      <c r="G58" s="17" t="s">
        <v>71</v>
      </c>
      <c r="H58" s="15" t="s">
        <v>66</v>
      </c>
      <c r="I58" s="15" t="s">
        <v>66</v>
      </c>
      <c r="J58" s="14" t="s">
        <v>66</v>
      </c>
      <c r="K58" s="14" t="s">
        <v>66</v>
      </c>
    </row>
    <row r="59" spans="2:11" s="19" customFormat="1" ht="15.6" customHeight="1" x14ac:dyDescent="0.25">
      <c r="B59" s="104">
        <v>49</v>
      </c>
      <c r="C59" s="89" t="s">
        <v>403</v>
      </c>
      <c r="D59" s="69" t="s">
        <v>71</v>
      </c>
      <c r="E59" s="68" t="s">
        <v>66</v>
      </c>
      <c r="F59" s="69" t="s">
        <v>71</v>
      </c>
      <c r="G59" s="68" t="s">
        <v>66</v>
      </c>
      <c r="H59" s="69" t="s">
        <v>71</v>
      </c>
      <c r="I59" s="68" t="s">
        <v>66</v>
      </c>
      <c r="J59" s="69" t="s">
        <v>71</v>
      </c>
      <c r="K59" s="68" t="s">
        <v>66</v>
      </c>
    </row>
    <row r="60" spans="2:11" s="19" customFormat="1" ht="15.6" customHeight="1" x14ac:dyDescent="0.25">
      <c r="B60" s="103">
        <v>50</v>
      </c>
      <c r="C60" s="94" t="s">
        <v>81</v>
      </c>
      <c r="D60" s="15" t="s">
        <v>66</v>
      </c>
      <c r="E60" s="15" t="s">
        <v>66</v>
      </c>
      <c r="F60" s="16" t="s">
        <v>66</v>
      </c>
      <c r="G60" s="16" t="s">
        <v>66</v>
      </c>
      <c r="H60" s="15" t="s">
        <v>66</v>
      </c>
      <c r="I60" s="15" t="s">
        <v>66</v>
      </c>
      <c r="J60" s="15" t="s">
        <v>66</v>
      </c>
      <c r="K60" s="15" t="s">
        <v>66</v>
      </c>
    </row>
    <row r="61" spans="2:11" x14ac:dyDescent="0.25">
      <c r="B61" s="58">
        <v>51</v>
      </c>
      <c r="C61" s="93" t="s">
        <v>342</v>
      </c>
      <c r="D61" s="76" t="s">
        <v>71</v>
      </c>
      <c r="E61" s="76" t="s">
        <v>71</v>
      </c>
      <c r="F61" s="83" t="s">
        <v>66</v>
      </c>
      <c r="G61" s="83" t="s">
        <v>66</v>
      </c>
      <c r="H61" s="83" t="s">
        <v>66</v>
      </c>
      <c r="I61" s="83" t="s">
        <v>66</v>
      </c>
      <c r="J61" s="83" t="s">
        <v>66</v>
      </c>
      <c r="K61" s="83" t="s">
        <v>66</v>
      </c>
    </row>
    <row r="62" spans="2:11" x14ac:dyDescent="0.25">
      <c r="B62" s="104">
        <v>52</v>
      </c>
      <c r="C62" s="96" t="s">
        <v>82</v>
      </c>
      <c r="D62" s="80" t="s">
        <v>66</v>
      </c>
      <c r="E62" s="82" t="s">
        <v>66</v>
      </c>
      <c r="F62" s="84" t="s">
        <v>66</v>
      </c>
      <c r="G62" s="84" t="s">
        <v>66</v>
      </c>
      <c r="H62" s="80" t="s">
        <v>66</v>
      </c>
      <c r="I62" s="82" t="s">
        <v>66</v>
      </c>
      <c r="J62" s="82" t="s">
        <v>66</v>
      </c>
      <c r="K62" s="82" t="s">
        <v>66</v>
      </c>
    </row>
    <row r="63" spans="2:11" x14ac:dyDescent="0.25">
      <c r="B63" s="104">
        <v>53</v>
      </c>
      <c r="C63" s="91" t="s">
        <v>404</v>
      </c>
      <c r="D63" s="77" t="s">
        <v>66</v>
      </c>
      <c r="E63" s="70" t="s">
        <v>66</v>
      </c>
      <c r="F63" s="70" t="s">
        <v>66</v>
      </c>
      <c r="G63" s="70" t="s">
        <v>66</v>
      </c>
      <c r="H63" s="77" t="s">
        <v>66</v>
      </c>
      <c r="I63" s="70" t="s">
        <v>66</v>
      </c>
      <c r="J63" s="70" t="s">
        <v>66</v>
      </c>
      <c r="K63" s="70" t="s">
        <v>66</v>
      </c>
    </row>
    <row r="64" spans="2:11" x14ac:dyDescent="0.25">
      <c r="B64" s="103">
        <v>54</v>
      </c>
      <c r="C64" s="97" t="s">
        <v>304</v>
      </c>
      <c r="D64" s="72" t="s">
        <v>66</v>
      </c>
      <c r="E64" s="62" t="s">
        <v>66</v>
      </c>
      <c r="F64" s="63" t="s">
        <v>66</v>
      </c>
      <c r="G64" s="63" t="s">
        <v>66</v>
      </c>
      <c r="H64" s="72" t="s">
        <v>66</v>
      </c>
      <c r="I64" s="62" t="s">
        <v>66</v>
      </c>
      <c r="J64" s="62" t="s">
        <v>71</v>
      </c>
      <c r="K64" s="62" t="s">
        <v>71</v>
      </c>
    </row>
    <row r="65" spans="2:11" x14ac:dyDescent="0.25">
      <c r="B65" s="58">
        <v>55</v>
      </c>
      <c r="C65" s="92" t="s">
        <v>365</v>
      </c>
      <c r="D65" s="73" t="s">
        <v>66</v>
      </c>
      <c r="E65" s="16" t="s">
        <v>66</v>
      </c>
      <c r="F65" s="16" t="s">
        <v>66</v>
      </c>
      <c r="G65" s="16" t="s">
        <v>66</v>
      </c>
      <c r="H65" s="73" t="s">
        <v>66</v>
      </c>
      <c r="I65" s="16" t="s">
        <v>66</v>
      </c>
      <c r="J65" s="16" t="s">
        <v>66</v>
      </c>
      <c r="K65" s="16" t="s">
        <v>66</v>
      </c>
    </row>
    <row r="66" spans="2:11" x14ac:dyDescent="0.25">
      <c r="B66" s="104">
        <v>56</v>
      </c>
      <c r="C66" s="91" t="s">
        <v>343</v>
      </c>
      <c r="D66" s="79" t="s">
        <v>66</v>
      </c>
      <c r="E66" s="65" t="s">
        <v>66</v>
      </c>
      <c r="F66" s="65" t="s">
        <v>66</v>
      </c>
      <c r="G66" s="65" t="s">
        <v>66</v>
      </c>
      <c r="H66" s="79" t="s">
        <v>66</v>
      </c>
      <c r="I66" s="65" t="s">
        <v>66</v>
      </c>
      <c r="J66" s="65" t="s">
        <v>66</v>
      </c>
      <c r="K66" s="65" t="s">
        <v>66</v>
      </c>
    </row>
    <row r="67" spans="2:11" x14ac:dyDescent="0.25">
      <c r="B67" s="104">
        <v>57</v>
      </c>
      <c r="C67" s="91" t="s">
        <v>405</v>
      </c>
      <c r="D67" s="77" t="s">
        <v>66</v>
      </c>
      <c r="E67" s="70" t="s">
        <v>66</v>
      </c>
      <c r="F67" s="70" t="s">
        <v>66</v>
      </c>
      <c r="G67" s="70" t="s">
        <v>66</v>
      </c>
      <c r="H67" s="77" t="s">
        <v>66</v>
      </c>
      <c r="I67" s="70" t="s">
        <v>66</v>
      </c>
      <c r="J67" s="70" t="s">
        <v>66</v>
      </c>
      <c r="K67" s="70" t="s">
        <v>66</v>
      </c>
    </row>
    <row r="68" spans="2:11" x14ac:dyDescent="0.25">
      <c r="B68" s="103">
        <v>58</v>
      </c>
      <c r="C68" s="91" t="s">
        <v>406</v>
      </c>
      <c r="D68" s="77" t="s">
        <v>66</v>
      </c>
      <c r="E68" s="70" t="s">
        <v>66</v>
      </c>
      <c r="F68" s="70" t="s">
        <v>66</v>
      </c>
      <c r="G68" s="70" t="s">
        <v>66</v>
      </c>
      <c r="H68" s="77" t="s">
        <v>66</v>
      </c>
      <c r="I68" s="70" t="s">
        <v>66</v>
      </c>
      <c r="J68" s="70" t="s">
        <v>66</v>
      </c>
      <c r="K68" s="70" t="s">
        <v>66</v>
      </c>
    </row>
    <row r="69" spans="2:11" x14ac:dyDescent="0.25">
      <c r="B69" s="58">
        <v>59</v>
      </c>
      <c r="C69" s="97" t="s">
        <v>305</v>
      </c>
      <c r="D69" s="72" t="s">
        <v>66</v>
      </c>
      <c r="E69" s="62" t="s">
        <v>66</v>
      </c>
      <c r="F69" s="63" t="s">
        <v>66</v>
      </c>
      <c r="G69" s="63" t="s">
        <v>66</v>
      </c>
      <c r="H69" s="72" t="s">
        <v>66</v>
      </c>
      <c r="I69" s="62" t="s">
        <v>66</v>
      </c>
      <c r="J69" s="62" t="s">
        <v>66</v>
      </c>
      <c r="K69" s="62" t="s">
        <v>66</v>
      </c>
    </row>
    <row r="70" spans="2:11" x14ac:dyDescent="0.25">
      <c r="B70" s="104">
        <v>60</v>
      </c>
      <c r="C70" s="96" t="s">
        <v>83</v>
      </c>
      <c r="D70" s="81" t="s">
        <v>66</v>
      </c>
      <c r="E70" s="15" t="s">
        <v>66</v>
      </c>
      <c r="F70" s="17" t="s">
        <v>66</v>
      </c>
      <c r="G70" s="17" t="s">
        <v>66</v>
      </c>
      <c r="H70" s="81" t="s">
        <v>66</v>
      </c>
      <c r="I70" s="15" t="s">
        <v>66</v>
      </c>
      <c r="J70" s="15" t="s">
        <v>71</v>
      </c>
      <c r="K70" s="15" t="s">
        <v>71</v>
      </c>
    </row>
    <row r="71" spans="2:11" x14ac:dyDescent="0.25">
      <c r="B71" s="104">
        <v>61</v>
      </c>
      <c r="C71" s="92" t="s">
        <v>366</v>
      </c>
      <c r="D71" s="73" t="s">
        <v>66</v>
      </c>
      <c r="E71" s="16" t="s">
        <v>66</v>
      </c>
      <c r="F71" s="16" t="s">
        <v>66</v>
      </c>
      <c r="G71" s="16" t="s">
        <v>66</v>
      </c>
      <c r="H71" s="73" t="s">
        <v>66</v>
      </c>
      <c r="I71" s="16" t="s">
        <v>66</v>
      </c>
      <c r="J71" s="16" t="s">
        <v>66</v>
      </c>
      <c r="K71" s="16" t="s">
        <v>66</v>
      </c>
    </row>
    <row r="72" spans="2:11" x14ac:dyDescent="0.25">
      <c r="B72" s="103">
        <v>62</v>
      </c>
      <c r="C72" s="91" t="s">
        <v>407</v>
      </c>
      <c r="D72" s="77" t="s">
        <v>66</v>
      </c>
      <c r="E72" s="70" t="s">
        <v>66</v>
      </c>
      <c r="F72" s="70" t="s">
        <v>66</v>
      </c>
      <c r="G72" s="70" t="s">
        <v>66</v>
      </c>
      <c r="H72" s="77" t="s">
        <v>66</v>
      </c>
      <c r="I72" s="70" t="s">
        <v>66</v>
      </c>
      <c r="J72" s="70" t="s">
        <v>66</v>
      </c>
      <c r="K72" s="70" t="s">
        <v>66</v>
      </c>
    </row>
    <row r="73" spans="2:11" x14ac:dyDescent="0.25">
      <c r="B73" s="58">
        <v>63</v>
      </c>
      <c r="C73" s="96" t="s">
        <v>84</v>
      </c>
      <c r="D73" s="81" t="s">
        <v>71</v>
      </c>
      <c r="E73" s="15" t="s">
        <v>71</v>
      </c>
      <c r="F73" s="17" t="s">
        <v>71</v>
      </c>
      <c r="G73" s="17" t="s">
        <v>71</v>
      </c>
      <c r="H73" s="81" t="s">
        <v>66</v>
      </c>
      <c r="I73" s="15" t="s">
        <v>66</v>
      </c>
      <c r="J73" s="14" t="s">
        <v>66</v>
      </c>
      <c r="K73" s="14" t="s">
        <v>66</v>
      </c>
    </row>
    <row r="74" spans="2:11" x14ac:dyDescent="0.25">
      <c r="B74" s="104">
        <v>64</v>
      </c>
      <c r="C74" s="91" t="s">
        <v>408</v>
      </c>
      <c r="D74" s="77" t="s">
        <v>66</v>
      </c>
      <c r="E74" s="70" t="s">
        <v>66</v>
      </c>
      <c r="F74" s="70" t="s">
        <v>66</v>
      </c>
      <c r="G74" s="70" t="s">
        <v>66</v>
      </c>
      <c r="H74" s="77" t="s">
        <v>66</v>
      </c>
      <c r="I74" s="70" t="s">
        <v>66</v>
      </c>
      <c r="J74" s="70" t="s">
        <v>66</v>
      </c>
      <c r="K74" s="70" t="s">
        <v>66</v>
      </c>
    </row>
    <row r="75" spans="2:11" x14ac:dyDescent="0.25">
      <c r="B75" s="104">
        <v>65</v>
      </c>
      <c r="C75" s="92" t="s">
        <v>409</v>
      </c>
      <c r="D75" s="74" t="s">
        <v>66</v>
      </c>
      <c r="E75" s="68" t="s">
        <v>66</v>
      </c>
      <c r="F75" s="68" t="s">
        <v>66</v>
      </c>
      <c r="G75" s="68" t="s">
        <v>66</v>
      </c>
      <c r="H75" s="74" t="s">
        <v>66</v>
      </c>
      <c r="I75" s="68" t="s">
        <v>66</v>
      </c>
      <c r="J75" s="68" t="s">
        <v>66</v>
      </c>
      <c r="K75" s="68" t="s">
        <v>66</v>
      </c>
    </row>
    <row r="76" spans="2:11" x14ac:dyDescent="0.25">
      <c r="B76" s="103">
        <v>66</v>
      </c>
      <c r="C76" s="92" t="s">
        <v>367</v>
      </c>
      <c r="D76" s="73" t="s">
        <v>66</v>
      </c>
      <c r="E76" s="16" t="s">
        <v>66</v>
      </c>
      <c r="F76" s="16" t="s">
        <v>66</v>
      </c>
      <c r="G76" s="16" t="s">
        <v>66</v>
      </c>
      <c r="H76" s="73" t="s">
        <v>66</v>
      </c>
      <c r="I76" s="16" t="s">
        <v>66</v>
      </c>
      <c r="J76" s="16" t="s">
        <v>66</v>
      </c>
      <c r="K76" s="16" t="s">
        <v>66</v>
      </c>
    </row>
    <row r="77" spans="2:11" x14ac:dyDescent="0.25">
      <c r="B77" s="58">
        <v>67</v>
      </c>
      <c r="C77" s="96" t="s">
        <v>85</v>
      </c>
      <c r="D77" s="81" t="s">
        <v>66</v>
      </c>
      <c r="E77" s="15" t="s">
        <v>66</v>
      </c>
      <c r="F77" s="17" t="s">
        <v>66</v>
      </c>
      <c r="G77" s="17" t="s">
        <v>66</v>
      </c>
      <c r="H77" s="81" t="s">
        <v>66</v>
      </c>
      <c r="I77" s="15" t="s">
        <v>66</v>
      </c>
      <c r="J77" s="15" t="s">
        <v>66</v>
      </c>
      <c r="K77" s="15" t="s">
        <v>66</v>
      </c>
    </row>
    <row r="78" spans="2:11" x14ac:dyDescent="0.25">
      <c r="B78" s="104">
        <v>68</v>
      </c>
      <c r="C78" s="97" t="s">
        <v>306</v>
      </c>
      <c r="D78" s="72" t="s">
        <v>66</v>
      </c>
      <c r="E78" s="62" t="s">
        <v>66</v>
      </c>
      <c r="F78" s="63" t="s">
        <v>66</v>
      </c>
      <c r="G78" s="63" t="s">
        <v>66</v>
      </c>
      <c r="H78" s="72" t="s">
        <v>71</v>
      </c>
      <c r="I78" s="62" t="s">
        <v>71</v>
      </c>
      <c r="J78" s="62" t="s">
        <v>66</v>
      </c>
      <c r="K78" s="62" t="s">
        <v>66</v>
      </c>
    </row>
    <row r="79" spans="2:11" x14ac:dyDescent="0.25">
      <c r="B79" s="104">
        <v>69</v>
      </c>
      <c r="C79" s="96" t="s">
        <v>86</v>
      </c>
      <c r="D79" s="81" t="s">
        <v>71</v>
      </c>
      <c r="E79" s="15" t="s">
        <v>71</v>
      </c>
      <c r="F79" s="17" t="s">
        <v>66</v>
      </c>
      <c r="G79" s="17" t="s">
        <v>66</v>
      </c>
      <c r="H79" s="81" t="s">
        <v>66</v>
      </c>
      <c r="I79" s="15" t="s">
        <v>66</v>
      </c>
      <c r="J79" s="14" t="s">
        <v>66</v>
      </c>
      <c r="K79" s="14" t="s">
        <v>66</v>
      </c>
    </row>
    <row r="80" spans="2:11" x14ac:dyDescent="0.25">
      <c r="B80" s="103">
        <v>70</v>
      </c>
      <c r="C80" s="92" t="s">
        <v>368</v>
      </c>
      <c r="D80" s="73" t="s">
        <v>66</v>
      </c>
      <c r="E80" s="16" t="s">
        <v>66</v>
      </c>
      <c r="F80" s="16" t="s">
        <v>66</v>
      </c>
      <c r="G80" s="16" t="s">
        <v>66</v>
      </c>
      <c r="H80" s="75" t="s">
        <v>71</v>
      </c>
      <c r="I80" s="64" t="s">
        <v>71</v>
      </c>
      <c r="J80" s="16" t="s">
        <v>66</v>
      </c>
      <c r="K80" s="16" t="s">
        <v>66</v>
      </c>
    </row>
    <row r="81" spans="2:11" x14ac:dyDescent="0.25">
      <c r="B81" s="58">
        <v>71</v>
      </c>
      <c r="C81" s="97" t="s">
        <v>307</v>
      </c>
      <c r="D81" s="72" t="s">
        <v>71</v>
      </c>
      <c r="E81" s="62" t="s">
        <v>71</v>
      </c>
      <c r="F81" s="63" t="s">
        <v>71</v>
      </c>
      <c r="G81" s="63" t="s">
        <v>71</v>
      </c>
      <c r="H81" s="72" t="s">
        <v>71</v>
      </c>
      <c r="I81" s="62" t="s">
        <v>71</v>
      </c>
      <c r="J81" s="62" t="s">
        <v>71</v>
      </c>
      <c r="K81" s="62" t="s">
        <v>71</v>
      </c>
    </row>
    <row r="82" spans="2:11" x14ac:dyDescent="0.25">
      <c r="B82" s="104">
        <v>72</v>
      </c>
      <c r="C82" s="91" t="s">
        <v>369</v>
      </c>
      <c r="D82" s="79" t="s">
        <v>66</v>
      </c>
      <c r="E82" s="65" t="s">
        <v>66</v>
      </c>
      <c r="F82" s="65" t="s">
        <v>66</v>
      </c>
      <c r="G82" s="65" t="s">
        <v>66</v>
      </c>
      <c r="H82" s="79" t="s">
        <v>66</v>
      </c>
      <c r="I82" s="65" t="s">
        <v>66</v>
      </c>
      <c r="J82" s="65" t="s">
        <v>66</v>
      </c>
      <c r="K82" s="65" t="s">
        <v>66</v>
      </c>
    </row>
    <row r="83" spans="2:11" x14ac:dyDescent="0.25">
      <c r="B83" s="104">
        <v>73</v>
      </c>
      <c r="C83" s="97" t="s">
        <v>308</v>
      </c>
      <c r="D83" s="72" t="s">
        <v>66</v>
      </c>
      <c r="E83" s="62" t="s">
        <v>66</v>
      </c>
      <c r="F83" s="63" t="s">
        <v>66</v>
      </c>
      <c r="G83" s="63" t="s">
        <v>66</v>
      </c>
      <c r="H83" s="72" t="s">
        <v>66</v>
      </c>
      <c r="I83" s="62" t="s">
        <v>66</v>
      </c>
      <c r="J83" s="62" t="s">
        <v>66</v>
      </c>
      <c r="K83" s="62" t="s">
        <v>66</v>
      </c>
    </row>
    <row r="84" spans="2:11" x14ac:dyDescent="0.25">
      <c r="B84" s="103">
        <v>74</v>
      </c>
      <c r="C84" s="97" t="s">
        <v>309</v>
      </c>
      <c r="D84" s="72" t="s">
        <v>66</v>
      </c>
      <c r="E84" s="62" t="s">
        <v>66</v>
      </c>
      <c r="F84" s="63" t="s">
        <v>66</v>
      </c>
      <c r="G84" s="63" t="s">
        <v>66</v>
      </c>
      <c r="H84" s="72" t="s">
        <v>66</v>
      </c>
      <c r="I84" s="62" t="s">
        <v>66</v>
      </c>
      <c r="J84" s="62" t="s">
        <v>66</v>
      </c>
      <c r="K84" s="62" t="s">
        <v>66</v>
      </c>
    </row>
    <row r="85" spans="2:11" x14ac:dyDescent="0.25">
      <c r="B85" s="58">
        <v>75</v>
      </c>
      <c r="C85" s="92" t="s">
        <v>370</v>
      </c>
      <c r="D85" s="75" t="s">
        <v>71</v>
      </c>
      <c r="E85" s="64" t="s">
        <v>71</v>
      </c>
      <c r="F85" s="16" t="s">
        <v>66</v>
      </c>
      <c r="G85" s="16" t="s">
        <v>66</v>
      </c>
      <c r="H85" s="73" t="s">
        <v>66</v>
      </c>
      <c r="I85" s="16" t="s">
        <v>66</v>
      </c>
      <c r="J85" s="16" t="s">
        <v>66</v>
      </c>
      <c r="K85" s="16" t="s">
        <v>66</v>
      </c>
    </row>
    <row r="86" spans="2:11" x14ac:dyDescent="0.25">
      <c r="B86" s="104">
        <v>76</v>
      </c>
      <c r="C86" s="96" t="s">
        <v>87</v>
      </c>
      <c r="D86" s="81" t="s">
        <v>71</v>
      </c>
      <c r="E86" s="15" t="s">
        <v>71</v>
      </c>
      <c r="F86" s="16" t="s">
        <v>66</v>
      </c>
      <c r="G86" s="16" t="s">
        <v>66</v>
      </c>
      <c r="H86" s="81" t="s">
        <v>71</v>
      </c>
      <c r="I86" s="15" t="s">
        <v>71</v>
      </c>
      <c r="J86" s="14" t="s">
        <v>66</v>
      </c>
      <c r="K86" s="14" t="s">
        <v>66</v>
      </c>
    </row>
    <row r="87" spans="2:11" x14ac:dyDescent="0.25">
      <c r="B87" s="104">
        <v>77</v>
      </c>
      <c r="C87" s="92" t="s">
        <v>371</v>
      </c>
      <c r="D87" s="73" t="s">
        <v>66</v>
      </c>
      <c r="E87" s="16" t="s">
        <v>66</v>
      </c>
      <c r="F87" s="16" t="s">
        <v>66</v>
      </c>
      <c r="G87" s="16" t="s">
        <v>66</v>
      </c>
      <c r="H87" s="73" t="s">
        <v>66</v>
      </c>
      <c r="I87" s="16" t="s">
        <v>66</v>
      </c>
      <c r="J87" s="16" t="s">
        <v>66</v>
      </c>
      <c r="K87" s="16" t="s">
        <v>66</v>
      </c>
    </row>
    <row r="88" spans="2:11" x14ac:dyDescent="0.25">
      <c r="B88" s="103">
        <v>78</v>
      </c>
      <c r="C88" s="96" t="s">
        <v>88</v>
      </c>
      <c r="D88" s="81" t="s">
        <v>66</v>
      </c>
      <c r="E88" s="15" t="s">
        <v>66</v>
      </c>
      <c r="F88" s="16" t="s">
        <v>66</v>
      </c>
      <c r="G88" s="16" t="s">
        <v>66</v>
      </c>
      <c r="H88" s="81" t="s">
        <v>66</v>
      </c>
      <c r="I88" s="15" t="s">
        <v>66</v>
      </c>
      <c r="J88" s="14" t="s">
        <v>66</v>
      </c>
      <c r="K88" s="14" t="s">
        <v>66</v>
      </c>
    </row>
    <row r="89" spans="2:11" x14ac:dyDescent="0.25">
      <c r="B89" s="58">
        <v>79</v>
      </c>
      <c r="C89" s="91" t="s">
        <v>344</v>
      </c>
      <c r="D89" s="79" t="s">
        <v>66</v>
      </c>
      <c r="E89" s="65" t="s">
        <v>66</v>
      </c>
      <c r="F89" s="65" t="s">
        <v>66</v>
      </c>
      <c r="G89" s="65" t="s">
        <v>66</v>
      </c>
      <c r="H89" s="86" t="s">
        <v>71</v>
      </c>
      <c r="I89" s="65" t="s">
        <v>66</v>
      </c>
      <c r="J89" s="65" t="s">
        <v>66</v>
      </c>
      <c r="K89" s="65" t="s">
        <v>66</v>
      </c>
    </row>
    <row r="90" spans="2:11" x14ac:dyDescent="0.25">
      <c r="B90" s="104">
        <v>80</v>
      </c>
      <c r="C90" s="97" t="s">
        <v>310</v>
      </c>
      <c r="D90" s="72" t="s">
        <v>66</v>
      </c>
      <c r="E90" s="62" t="s">
        <v>66</v>
      </c>
      <c r="F90" s="63" t="s">
        <v>66</v>
      </c>
      <c r="G90" s="63" t="s">
        <v>66</v>
      </c>
      <c r="H90" s="72" t="s">
        <v>66</v>
      </c>
      <c r="I90" s="62" t="s">
        <v>66</v>
      </c>
      <c r="J90" s="62" t="s">
        <v>66</v>
      </c>
      <c r="K90" s="62" t="s">
        <v>66</v>
      </c>
    </row>
    <row r="91" spans="2:11" x14ac:dyDescent="0.25">
      <c r="B91" s="104">
        <v>81</v>
      </c>
      <c r="C91" s="96" t="s">
        <v>89</v>
      </c>
      <c r="D91" s="81" t="s">
        <v>71</v>
      </c>
      <c r="E91" s="15" t="s">
        <v>71</v>
      </c>
      <c r="F91" s="16" t="s">
        <v>66</v>
      </c>
      <c r="G91" s="16" t="s">
        <v>66</v>
      </c>
      <c r="H91" s="81" t="s">
        <v>66</v>
      </c>
      <c r="I91" s="15" t="s">
        <v>66</v>
      </c>
      <c r="J91" s="14" t="s">
        <v>66</v>
      </c>
      <c r="K91" s="14" t="s">
        <v>66</v>
      </c>
    </row>
    <row r="92" spans="2:11" x14ac:dyDescent="0.25">
      <c r="B92" s="103">
        <v>82</v>
      </c>
      <c r="C92" s="92" t="s">
        <v>410</v>
      </c>
      <c r="D92" s="74" t="s">
        <v>66</v>
      </c>
      <c r="E92" s="68" t="s">
        <v>66</v>
      </c>
      <c r="F92" s="68" t="s">
        <v>66</v>
      </c>
      <c r="G92" s="68" t="s">
        <v>66</v>
      </c>
      <c r="H92" s="74" t="s">
        <v>66</v>
      </c>
      <c r="I92" s="68" t="s">
        <v>66</v>
      </c>
      <c r="J92" s="68" t="s">
        <v>66</v>
      </c>
      <c r="K92" s="68" t="s">
        <v>66</v>
      </c>
    </row>
    <row r="93" spans="2:11" x14ac:dyDescent="0.25">
      <c r="B93" s="58">
        <v>83</v>
      </c>
      <c r="C93" s="92" t="s">
        <v>411</v>
      </c>
      <c r="D93" s="74" t="s">
        <v>66</v>
      </c>
      <c r="E93" s="68" t="s">
        <v>66</v>
      </c>
      <c r="F93" s="69" t="s">
        <v>71</v>
      </c>
      <c r="G93" s="68" t="s">
        <v>66</v>
      </c>
      <c r="H93" s="78" t="s">
        <v>71</v>
      </c>
      <c r="I93" s="68" t="s">
        <v>66</v>
      </c>
      <c r="J93" s="68" t="s">
        <v>66</v>
      </c>
      <c r="K93" s="68" t="s">
        <v>66</v>
      </c>
    </row>
    <row r="94" spans="2:11" x14ac:dyDescent="0.25">
      <c r="B94" s="104">
        <v>84</v>
      </c>
      <c r="C94" s="97" t="s">
        <v>311</v>
      </c>
      <c r="D94" s="72" t="s">
        <v>71</v>
      </c>
      <c r="E94" s="62" t="s">
        <v>71</v>
      </c>
      <c r="F94" s="63" t="s">
        <v>71</v>
      </c>
      <c r="G94" s="63" t="s">
        <v>71</v>
      </c>
      <c r="H94" s="72" t="s">
        <v>71</v>
      </c>
      <c r="I94" s="62" t="s">
        <v>71</v>
      </c>
      <c r="J94" s="62" t="s">
        <v>71</v>
      </c>
      <c r="K94" s="62" t="s">
        <v>71</v>
      </c>
    </row>
    <row r="95" spans="2:11" x14ac:dyDescent="0.25">
      <c r="B95" s="104">
        <v>85</v>
      </c>
      <c r="C95" s="92" t="s">
        <v>412</v>
      </c>
      <c r="D95" s="74" t="s">
        <v>66</v>
      </c>
      <c r="E95" s="68" t="s">
        <v>66</v>
      </c>
      <c r="F95" s="68" t="s">
        <v>66</v>
      </c>
      <c r="G95" s="68" t="s">
        <v>66</v>
      </c>
      <c r="H95" s="74" t="s">
        <v>66</v>
      </c>
      <c r="I95" s="68" t="s">
        <v>66</v>
      </c>
      <c r="J95" s="68" t="s">
        <v>66</v>
      </c>
      <c r="K95" s="68" t="s">
        <v>66</v>
      </c>
    </row>
    <row r="96" spans="2:11" x14ac:dyDescent="0.25">
      <c r="B96" s="103">
        <v>86</v>
      </c>
      <c r="C96" s="97" t="s">
        <v>312</v>
      </c>
      <c r="D96" s="72" t="s">
        <v>66</v>
      </c>
      <c r="E96" s="62" t="s">
        <v>66</v>
      </c>
      <c r="F96" s="63" t="s">
        <v>66</v>
      </c>
      <c r="G96" s="63" t="s">
        <v>66</v>
      </c>
      <c r="H96" s="72" t="s">
        <v>66</v>
      </c>
      <c r="I96" s="62" t="s">
        <v>66</v>
      </c>
      <c r="J96" s="62" t="s">
        <v>66</v>
      </c>
      <c r="K96" s="62" t="s">
        <v>66</v>
      </c>
    </row>
    <row r="97" spans="2:11" x14ac:dyDescent="0.25">
      <c r="B97" s="58">
        <v>87</v>
      </c>
      <c r="C97" s="92" t="s">
        <v>372</v>
      </c>
      <c r="D97" s="75" t="s">
        <v>71</v>
      </c>
      <c r="E97" s="64" t="s">
        <v>71</v>
      </c>
      <c r="F97" s="16" t="s">
        <v>66</v>
      </c>
      <c r="G97" s="16" t="s">
        <v>66</v>
      </c>
      <c r="H97" s="73" t="s">
        <v>66</v>
      </c>
      <c r="I97" s="16" t="s">
        <v>66</v>
      </c>
      <c r="J97" s="16" t="s">
        <v>66</v>
      </c>
      <c r="K97" s="16" t="s">
        <v>66</v>
      </c>
    </row>
    <row r="98" spans="2:11" x14ac:dyDescent="0.25">
      <c r="B98" s="104">
        <v>88</v>
      </c>
      <c r="C98" s="92" t="s">
        <v>373</v>
      </c>
      <c r="D98" s="73" t="s">
        <v>66</v>
      </c>
      <c r="E98" s="16" t="s">
        <v>66</v>
      </c>
      <c r="F98" s="16" t="s">
        <v>66</v>
      </c>
      <c r="G98" s="16" t="s">
        <v>66</v>
      </c>
      <c r="H98" s="73" t="s">
        <v>66</v>
      </c>
      <c r="I98" s="16" t="s">
        <v>66</v>
      </c>
      <c r="J98" s="16" t="s">
        <v>66</v>
      </c>
      <c r="K98" s="16" t="s">
        <v>66</v>
      </c>
    </row>
    <row r="99" spans="2:11" x14ac:dyDescent="0.25">
      <c r="B99" s="104">
        <v>89</v>
      </c>
      <c r="C99" s="92" t="s">
        <v>413</v>
      </c>
      <c r="D99" s="78" t="s">
        <v>71</v>
      </c>
      <c r="E99" s="69" t="s">
        <v>71</v>
      </c>
      <c r="F99" s="68" t="s">
        <v>66</v>
      </c>
      <c r="G99" s="68" t="s">
        <v>66</v>
      </c>
      <c r="H99" s="74" t="s">
        <v>66</v>
      </c>
      <c r="I99" s="68" t="s">
        <v>66</v>
      </c>
      <c r="J99" s="68" t="s">
        <v>66</v>
      </c>
      <c r="K99" s="68" t="s">
        <v>66</v>
      </c>
    </row>
    <row r="100" spans="2:11" x14ac:dyDescent="0.25">
      <c r="B100" s="103">
        <v>90</v>
      </c>
      <c r="C100" s="92" t="s">
        <v>374</v>
      </c>
      <c r="D100" s="73" t="s">
        <v>66</v>
      </c>
      <c r="E100" s="16" t="s">
        <v>66</v>
      </c>
      <c r="F100" s="16" t="s">
        <v>66</v>
      </c>
      <c r="G100" s="16" t="s">
        <v>66</v>
      </c>
      <c r="H100" s="73" t="s">
        <v>66</v>
      </c>
      <c r="I100" s="16" t="s">
        <v>66</v>
      </c>
      <c r="J100" s="16" t="s">
        <v>66</v>
      </c>
      <c r="K100" s="16" t="s">
        <v>66</v>
      </c>
    </row>
    <row r="101" spans="2:11" x14ac:dyDescent="0.25">
      <c r="B101" s="58">
        <v>91</v>
      </c>
      <c r="C101" s="91" t="s">
        <v>375</v>
      </c>
      <c r="D101" s="79" t="s">
        <v>66</v>
      </c>
      <c r="E101" s="65" t="s">
        <v>66</v>
      </c>
      <c r="F101" s="65" t="s">
        <v>66</v>
      </c>
      <c r="G101" s="65" t="s">
        <v>66</v>
      </c>
      <c r="H101" s="79" t="s">
        <v>66</v>
      </c>
      <c r="I101" s="65" t="s">
        <v>66</v>
      </c>
      <c r="J101" s="65" t="s">
        <v>66</v>
      </c>
      <c r="K101" s="65" t="s">
        <v>66</v>
      </c>
    </row>
    <row r="102" spans="2:11" x14ac:dyDescent="0.25">
      <c r="B102" s="104">
        <v>92</v>
      </c>
      <c r="C102" s="98" t="s">
        <v>90</v>
      </c>
      <c r="D102" s="81" t="s">
        <v>66</v>
      </c>
      <c r="E102" s="15" t="s">
        <v>66</v>
      </c>
      <c r="F102" s="16" t="s">
        <v>66</v>
      </c>
      <c r="G102" s="16" t="s">
        <v>66</v>
      </c>
      <c r="H102" s="81" t="s">
        <v>66</v>
      </c>
      <c r="I102" s="15" t="s">
        <v>66</v>
      </c>
      <c r="J102" s="14" t="s">
        <v>66</v>
      </c>
      <c r="K102" s="14" t="s">
        <v>66</v>
      </c>
    </row>
    <row r="103" spans="2:11" x14ac:dyDescent="0.25">
      <c r="B103" s="104">
        <v>93</v>
      </c>
      <c r="C103" s="93" t="s">
        <v>414</v>
      </c>
      <c r="D103" s="74" t="s">
        <v>66</v>
      </c>
      <c r="E103" s="68" t="s">
        <v>66</v>
      </c>
      <c r="F103" s="69" t="s">
        <v>71</v>
      </c>
      <c r="G103" s="69" t="s">
        <v>71</v>
      </c>
      <c r="H103" s="78" t="s">
        <v>71</v>
      </c>
      <c r="I103" s="69" t="s">
        <v>71</v>
      </c>
      <c r="J103" s="69" t="s">
        <v>71</v>
      </c>
      <c r="K103" s="69" t="s">
        <v>71</v>
      </c>
    </row>
    <row r="104" spans="2:11" x14ac:dyDescent="0.25">
      <c r="B104" s="103">
        <v>94</v>
      </c>
      <c r="C104" s="89" t="s">
        <v>376</v>
      </c>
      <c r="D104" s="16" t="s">
        <v>66</v>
      </c>
      <c r="E104" s="16" t="s">
        <v>66</v>
      </c>
      <c r="F104" s="16" t="s">
        <v>66</v>
      </c>
      <c r="G104" s="16" t="s">
        <v>66</v>
      </c>
      <c r="H104" s="16" t="s">
        <v>66</v>
      </c>
      <c r="I104" s="16" t="s">
        <v>66</v>
      </c>
      <c r="J104" s="16" t="s">
        <v>66</v>
      </c>
      <c r="K104" s="16" t="s">
        <v>66</v>
      </c>
    </row>
    <row r="105" spans="2:11" x14ac:dyDescent="0.25">
      <c r="B105" s="58">
        <v>95</v>
      </c>
      <c r="C105" s="89" t="s">
        <v>377</v>
      </c>
      <c r="D105" s="16" t="s">
        <v>66</v>
      </c>
      <c r="E105" s="16" t="s">
        <v>66</v>
      </c>
      <c r="F105" s="16" t="s">
        <v>66</v>
      </c>
      <c r="G105" s="16" t="s">
        <v>66</v>
      </c>
      <c r="H105" s="16" t="s">
        <v>66</v>
      </c>
      <c r="I105" s="16" t="s">
        <v>66</v>
      </c>
      <c r="J105" s="16" t="s">
        <v>66</v>
      </c>
      <c r="K105" s="16" t="s">
        <v>66</v>
      </c>
    </row>
    <row r="106" spans="2:11" x14ac:dyDescent="0.25">
      <c r="B106" s="104">
        <v>96</v>
      </c>
      <c r="C106" s="95" t="s">
        <v>313</v>
      </c>
      <c r="D106" s="62" t="s">
        <v>71</v>
      </c>
      <c r="E106" s="62" t="s">
        <v>71</v>
      </c>
      <c r="F106" s="63" t="s">
        <v>71</v>
      </c>
      <c r="G106" s="63" t="s">
        <v>71</v>
      </c>
      <c r="H106" s="62" t="s">
        <v>66</v>
      </c>
      <c r="I106" s="62" t="s">
        <v>66</v>
      </c>
      <c r="J106" s="62" t="s">
        <v>66</v>
      </c>
      <c r="K106" s="62" t="s">
        <v>66</v>
      </c>
    </row>
    <row r="107" spans="2:11" x14ac:dyDescent="0.25">
      <c r="B107" s="104">
        <v>97</v>
      </c>
      <c r="C107" s="94" t="s">
        <v>91</v>
      </c>
      <c r="D107" s="15" t="s">
        <v>66</v>
      </c>
      <c r="E107" s="15" t="s">
        <v>66</v>
      </c>
      <c r="F107" s="16" t="s">
        <v>66</v>
      </c>
      <c r="G107" s="16" t="s">
        <v>66</v>
      </c>
      <c r="H107" s="15" t="s">
        <v>66</v>
      </c>
      <c r="I107" s="15" t="s">
        <v>66</v>
      </c>
      <c r="J107" s="14" t="s">
        <v>66</v>
      </c>
      <c r="K107" s="14" t="s">
        <v>66</v>
      </c>
    </row>
    <row r="108" spans="2:11" x14ac:dyDescent="0.25">
      <c r="B108" s="103">
        <v>98</v>
      </c>
      <c r="C108" s="89" t="s">
        <v>415</v>
      </c>
      <c r="D108" s="68" t="s">
        <v>66</v>
      </c>
      <c r="E108" s="68" t="s">
        <v>66</v>
      </c>
      <c r="F108" s="68" t="s">
        <v>66</v>
      </c>
      <c r="G108" s="68" t="s">
        <v>66</v>
      </c>
      <c r="H108" s="68" t="s">
        <v>66</v>
      </c>
      <c r="I108" s="68" t="s">
        <v>66</v>
      </c>
      <c r="J108" s="68" t="s">
        <v>66</v>
      </c>
      <c r="K108" s="68" t="s">
        <v>66</v>
      </c>
    </row>
    <row r="109" spans="2:11" x14ac:dyDescent="0.25">
      <c r="B109" s="58">
        <v>99</v>
      </c>
      <c r="C109" s="89" t="s">
        <v>378</v>
      </c>
      <c r="D109" s="16" t="s">
        <v>66</v>
      </c>
      <c r="E109" s="16" t="s">
        <v>66</v>
      </c>
      <c r="F109" s="16" t="s">
        <v>66</v>
      </c>
      <c r="G109" s="16" t="s">
        <v>66</v>
      </c>
      <c r="H109" s="16" t="s">
        <v>66</v>
      </c>
      <c r="I109" s="16" t="s">
        <v>66</v>
      </c>
      <c r="J109" s="16" t="s">
        <v>66</v>
      </c>
      <c r="K109" s="16" t="s">
        <v>66</v>
      </c>
    </row>
    <row r="110" spans="2:11" x14ac:dyDescent="0.25">
      <c r="B110" s="104">
        <v>100</v>
      </c>
      <c r="C110" s="89" t="s">
        <v>379</v>
      </c>
      <c r="D110" s="16" t="s">
        <v>66</v>
      </c>
      <c r="E110" s="16" t="s">
        <v>66</v>
      </c>
      <c r="F110" s="16" t="s">
        <v>66</v>
      </c>
      <c r="G110" s="16" t="s">
        <v>66</v>
      </c>
      <c r="H110" s="16" t="s">
        <v>66</v>
      </c>
      <c r="I110" s="16" t="s">
        <v>66</v>
      </c>
      <c r="J110" s="16" t="s">
        <v>66</v>
      </c>
      <c r="K110" s="16" t="s">
        <v>66</v>
      </c>
    </row>
    <row r="111" spans="2:11" x14ac:dyDescent="0.25">
      <c r="B111" s="104">
        <v>101</v>
      </c>
      <c r="C111" s="94" t="s">
        <v>92</v>
      </c>
      <c r="D111" s="15" t="s">
        <v>71</v>
      </c>
      <c r="E111" s="15" t="s">
        <v>71</v>
      </c>
      <c r="F111" s="16" t="s">
        <v>66</v>
      </c>
      <c r="G111" s="16" t="s">
        <v>66</v>
      </c>
      <c r="H111" s="15" t="s">
        <v>66</v>
      </c>
      <c r="I111" s="15" t="s">
        <v>66</v>
      </c>
      <c r="J111" s="14" t="s">
        <v>66</v>
      </c>
      <c r="K111" s="14" t="s">
        <v>66</v>
      </c>
    </row>
    <row r="112" spans="2:11" x14ac:dyDescent="0.25">
      <c r="B112" s="103">
        <v>102</v>
      </c>
      <c r="C112" s="89" t="s">
        <v>380</v>
      </c>
      <c r="D112" s="16" t="s">
        <v>66</v>
      </c>
      <c r="E112" s="16" t="s">
        <v>66</v>
      </c>
      <c r="F112" s="16" t="s">
        <v>66</v>
      </c>
      <c r="G112" s="16" t="s">
        <v>66</v>
      </c>
      <c r="H112" s="16" t="s">
        <v>66</v>
      </c>
      <c r="I112" s="16" t="s">
        <v>66</v>
      </c>
      <c r="J112" s="16" t="s">
        <v>66</v>
      </c>
      <c r="K112" s="16" t="s">
        <v>66</v>
      </c>
    </row>
    <row r="113" spans="2:11" x14ac:dyDescent="0.25">
      <c r="B113" s="58">
        <v>103</v>
      </c>
      <c r="C113" s="95" t="s">
        <v>314</v>
      </c>
      <c r="D113" s="62" t="s">
        <v>66</v>
      </c>
      <c r="E113" s="62" t="s">
        <v>66</v>
      </c>
      <c r="F113" s="63" t="s">
        <v>66</v>
      </c>
      <c r="G113" s="63" t="s">
        <v>66</v>
      </c>
      <c r="H113" s="62" t="s">
        <v>66</v>
      </c>
      <c r="I113" s="62" t="s">
        <v>66</v>
      </c>
      <c r="J113" s="62" t="s">
        <v>66</v>
      </c>
      <c r="K113" s="62" t="s">
        <v>66</v>
      </c>
    </row>
    <row r="114" spans="2:11" x14ac:dyDescent="0.25">
      <c r="B114" s="104">
        <v>104</v>
      </c>
      <c r="C114" s="89" t="s">
        <v>381</v>
      </c>
      <c r="D114" s="64" t="s">
        <v>71</v>
      </c>
      <c r="E114" s="64" t="s">
        <v>71</v>
      </c>
      <c r="F114" s="16" t="s">
        <v>66</v>
      </c>
      <c r="G114" s="16" t="s">
        <v>66</v>
      </c>
      <c r="H114" s="16" t="s">
        <v>66</v>
      </c>
      <c r="I114" s="16" t="s">
        <v>66</v>
      </c>
      <c r="J114" s="16" t="s">
        <v>66</v>
      </c>
      <c r="K114" s="16" t="s">
        <v>66</v>
      </c>
    </row>
    <row r="115" spans="2:11" x14ac:dyDescent="0.25">
      <c r="B115" s="104">
        <v>105</v>
      </c>
      <c r="C115" s="95" t="s">
        <v>315</v>
      </c>
      <c r="D115" s="62" t="s">
        <v>66</v>
      </c>
      <c r="E115" s="62" t="s">
        <v>66</v>
      </c>
      <c r="F115" s="63" t="s">
        <v>66</v>
      </c>
      <c r="G115" s="63" t="s">
        <v>66</v>
      </c>
      <c r="H115" s="62" t="s">
        <v>66</v>
      </c>
      <c r="I115" s="62" t="s">
        <v>66</v>
      </c>
      <c r="J115" s="62" t="s">
        <v>66</v>
      </c>
      <c r="K115" s="62" t="s">
        <v>66</v>
      </c>
    </row>
    <row r="116" spans="2:11" x14ac:dyDescent="0.25">
      <c r="B116" s="103">
        <v>106</v>
      </c>
      <c r="C116" s="95" t="s">
        <v>316</v>
      </c>
      <c r="D116" s="62" t="s">
        <v>66</v>
      </c>
      <c r="E116" s="62" t="s">
        <v>66</v>
      </c>
      <c r="F116" s="63" t="s">
        <v>66</v>
      </c>
      <c r="G116" s="63" t="s">
        <v>66</v>
      </c>
      <c r="H116" s="62" t="s">
        <v>66</v>
      </c>
      <c r="I116" s="62" t="s">
        <v>66</v>
      </c>
      <c r="J116" s="62" t="s">
        <v>71</v>
      </c>
      <c r="K116" s="62" t="s">
        <v>71</v>
      </c>
    </row>
    <row r="117" spans="2:11" x14ac:dyDescent="0.25">
      <c r="B117" s="58">
        <v>107</v>
      </c>
      <c r="C117" s="95" t="s">
        <v>317</v>
      </c>
      <c r="D117" s="62" t="s">
        <v>66</v>
      </c>
      <c r="E117" s="62" t="s">
        <v>66</v>
      </c>
      <c r="F117" s="63" t="s">
        <v>66</v>
      </c>
      <c r="G117" s="63" t="s">
        <v>66</v>
      </c>
      <c r="H117" s="62" t="s">
        <v>66</v>
      </c>
      <c r="I117" s="62" t="s">
        <v>66</v>
      </c>
      <c r="J117" s="62" t="s">
        <v>66</v>
      </c>
      <c r="K117" s="62" t="s">
        <v>66</v>
      </c>
    </row>
    <row r="118" spans="2:11" x14ac:dyDescent="0.25">
      <c r="B118" s="104">
        <v>108</v>
      </c>
      <c r="C118" s="89" t="s">
        <v>416</v>
      </c>
      <c r="D118" s="68" t="s">
        <v>66</v>
      </c>
      <c r="E118" s="68" t="s">
        <v>66</v>
      </c>
      <c r="F118" s="68" t="s">
        <v>66</v>
      </c>
      <c r="G118" s="68" t="s">
        <v>66</v>
      </c>
      <c r="H118" s="68" t="s">
        <v>66</v>
      </c>
      <c r="I118" s="68" t="s">
        <v>66</v>
      </c>
      <c r="J118" s="68" t="s">
        <v>66</v>
      </c>
      <c r="K118" s="68" t="s">
        <v>66</v>
      </c>
    </row>
    <row r="119" spans="2:11" x14ac:dyDescent="0.25">
      <c r="B119" s="104">
        <v>109</v>
      </c>
      <c r="C119" s="94" t="s">
        <v>93</v>
      </c>
      <c r="D119" s="15" t="s">
        <v>66</v>
      </c>
      <c r="E119" s="15" t="s">
        <v>66</v>
      </c>
      <c r="F119" s="16" t="s">
        <v>66</v>
      </c>
      <c r="G119" s="16" t="s">
        <v>66</v>
      </c>
      <c r="H119" s="15" t="s">
        <v>66</v>
      </c>
      <c r="I119" s="15" t="s">
        <v>66</v>
      </c>
      <c r="J119" s="14" t="s">
        <v>66</v>
      </c>
      <c r="K119" s="14" t="s">
        <v>66</v>
      </c>
    </row>
    <row r="120" spans="2:11" ht="30" x14ac:dyDescent="0.25">
      <c r="B120" s="103">
        <v>110</v>
      </c>
      <c r="C120" s="89" t="s">
        <v>382</v>
      </c>
      <c r="D120" s="16" t="s">
        <v>66</v>
      </c>
      <c r="E120" s="16" t="s">
        <v>66</v>
      </c>
      <c r="F120" s="16" t="s">
        <v>66</v>
      </c>
      <c r="G120" s="16" t="s">
        <v>66</v>
      </c>
      <c r="H120" s="16" t="s">
        <v>66</v>
      </c>
      <c r="I120" s="16" t="s">
        <v>66</v>
      </c>
      <c r="J120" s="16" t="s">
        <v>66</v>
      </c>
      <c r="K120" s="16" t="s">
        <v>66</v>
      </c>
    </row>
    <row r="121" spans="2:11" x14ac:dyDescent="0.25">
      <c r="B121" s="58">
        <v>111</v>
      </c>
      <c r="C121" s="94" t="s">
        <v>94</v>
      </c>
      <c r="D121" s="15" t="s">
        <v>66</v>
      </c>
      <c r="E121" s="15" t="s">
        <v>66</v>
      </c>
      <c r="F121" s="16" t="s">
        <v>66</v>
      </c>
      <c r="G121" s="16" t="s">
        <v>66</v>
      </c>
      <c r="H121" s="15" t="s">
        <v>71</v>
      </c>
      <c r="I121" s="15" t="s">
        <v>71</v>
      </c>
      <c r="J121" s="14" t="s">
        <v>66</v>
      </c>
      <c r="K121" s="14" t="s">
        <v>66</v>
      </c>
    </row>
    <row r="122" spans="2:11" x14ac:dyDescent="0.25">
      <c r="B122" s="104">
        <v>112</v>
      </c>
      <c r="C122" s="94" t="s">
        <v>95</v>
      </c>
      <c r="D122" s="14" t="s">
        <v>66</v>
      </c>
      <c r="E122" s="14" t="s">
        <v>66</v>
      </c>
      <c r="F122" s="16" t="s">
        <v>66</v>
      </c>
      <c r="G122" s="16" t="s">
        <v>66</v>
      </c>
      <c r="H122" s="14" t="s">
        <v>66</v>
      </c>
      <c r="I122" s="14" t="s">
        <v>66</v>
      </c>
      <c r="J122" s="14" t="s">
        <v>66</v>
      </c>
      <c r="K122" s="14" t="s">
        <v>66</v>
      </c>
    </row>
    <row r="123" spans="2:11" x14ac:dyDescent="0.25">
      <c r="B123" s="104">
        <v>113</v>
      </c>
      <c r="C123" s="94" t="s">
        <v>96</v>
      </c>
      <c r="D123" s="15" t="s">
        <v>66</v>
      </c>
      <c r="E123" s="15" t="s">
        <v>66</v>
      </c>
      <c r="F123" s="16" t="s">
        <v>66</v>
      </c>
      <c r="G123" s="16" t="s">
        <v>66</v>
      </c>
      <c r="H123" s="15" t="s">
        <v>66</v>
      </c>
      <c r="I123" s="15" t="s">
        <v>66</v>
      </c>
      <c r="J123" s="14" t="s">
        <v>66</v>
      </c>
      <c r="K123" s="14" t="s">
        <v>66</v>
      </c>
    </row>
    <row r="124" spans="2:11" x14ac:dyDescent="0.25">
      <c r="B124" s="103">
        <v>114</v>
      </c>
      <c r="C124" s="88" t="s">
        <v>383</v>
      </c>
      <c r="D124" s="66" t="s">
        <v>71</v>
      </c>
      <c r="E124" s="66" t="s">
        <v>71</v>
      </c>
      <c r="F124" s="66" t="s">
        <v>71</v>
      </c>
      <c r="G124" s="66" t="s">
        <v>71</v>
      </c>
      <c r="H124" s="66" t="s">
        <v>71</v>
      </c>
      <c r="I124" s="66" t="s">
        <v>71</v>
      </c>
      <c r="J124" s="66" t="s">
        <v>71</v>
      </c>
      <c r="K124" s="66" t="s">
        <v>71</v>
      </c>
    </row>
    <row r="125" spans="2:11" x14ac:dyDescent="0.25">
      <c r="B125" s="58">
        <v>115</v>
      </c>
      <c r="C125" s="95" t="s">
        <v>318</v>
      </c>
      <c r="D125" s="62" t="s">
        <v>66</v>
      </c>
      <c r="E125" s="62" t="s">
        <v>66</v>
      </c>
      <c r="F125" s="63" t="s">
        <v>66</v>
      </c>
      <c r="G125" s="63" t="s">
        <v>66</v>
      </c>
      <c r="H125" s="62" t="s">
        <v>66</v>
      </c>
      <c r="I125" s="62" t="s">
        <v>66</v>
      </c>
      <c r="J125" s="62" t="s">
        <v>66</v>
      </c>
      <c r="K125" s="62" t="s">
        <v>66</v>
      </c>
    </row>
    <row r="126" spans="2:11" x14ac:dyDescent="0.25">
      <c r="B126" s="104">
        <v>116</v>
      </c>
      <c r="C126" s="94" t="s">
        <v>97</v>
      </c>
      <c r="D126" s="14" t="s">
        <v>66</v>
      </c>
      <c r="E126" s="14" t="s">
        <v>66</v>
      </c>
      <c r="F126" s="17" t="s">
        <v>66</v>
      </c>
      <c r="G126" s="17" t="s">
        <v>66</v>
      </c>
      <c r="H126" s="15" t="s">
        <v>66</v>
      </c>
      <c r="I126" s="15" t="s">
        <v>66</v>
      </c>
      <c r="J126" s="14" t="s">
        <v>66</v>
      </c>
      <c r="K126" s="14" t="s">
        <v>66</v>
      </c>
    </row>
    <row r="127" spans="2:11" x14ac:dyDescent="0.25">
      <c r="B127" s="104">
        <v>117</v>
      </c>
      <c r="C127" s="94" t="s">
        <v>98</v>
      </c>
      <c r="D127" s="15" t="s">
        <v>66</v>
      </c>
      <c r="E127" s="15" t="s">
        <v>66</v>
      </c>
      <c r="F127" s="16" t="s">
        <v>66</v>
      </c>
      <c r="G127" s="16" t="s">
        <v>66</v>
      </c>
      <c r="H127" s="15" t="s">
        <v>66</v>
      </c>
      <c r="I127" s="15" t="s">
        <v>66</v>
      </c>
      <c r="J127" s="14" t="s">
        <v>66</v>
      </c>
      <c r="K127" s="14" t="s">
        <v>66</v>
      </c>
    </row>
    <row r="128" spans="2:11" x14ac:dyDescent="0.25">
      <c r="B128" s="103">
        <v>118</v>
      </c>
      <c r="C128" s="89" t="s">
        <v>345</v>
      </c>
      <c r="D128" s="16" t="s">
        <v>66</v>
      </c>
      <c r="E128" s="16" t="s">
        <v>66</v>
      </c>
      <c r="F128" s="16" t="s">
        <v>66</v>
      </c>
      <c r="G128" s="16" t="s">
        <v>66</v>
      </c>
      <c r="H128" s="16" t="s">
        <v>66</v>
      </c>
      <c r="I128" s="16" t="s">
        <v>66</v>
      </c>
      <c r="J128" s="16" t="s">
        <v>66</v>
      </c>
      <c r="K128" s="16" t="s">
        <v>66</v>
      </c>
    </row>
    <row r="129" spans="2:11" x14ac:dyDescent="0.25">
      <c r="B129" s="58">
        <v>119</v>
      </c>
      <c r="C129" s="95" t="s">
        <v>319</v>
      </c>
      <c r="D129" s="62" t="s">
        <v>66</v>
      </c>
      <c r="E129" s="62" t="s">
        <v>66</v>
      </c>
      <c r="F129" s="63" t="s">
        <v>66</v>
      </c>
      <c r="G129" s="63" t="s">
        <v>66</v>
      </c>
      <c r="H129" s="62" t="s">
        <v>66</v>
      </c>
      <c r="I129" s="62" t="s">
        <v>66</v>
      </c>
      <c r="J129" s="62" t="s">
        <v>71</v>
      </c>
      <c r="K129" s="62" t="s">
        <v>71</v>
      </c>
    </row>
    <row r="130" spans="2:11" x14ac:dyDescent="0.25">
      <c r="B130" s="104">
        <v>120</v>
      </c>
      <c r="C130" s="89" t="s">
        <v>417</v>
      </c>
      <c r="D130" s="68" t="s">
        <v>66</v>
      </c>
      <c r="E130" s="68" t="s">
        <v>66</v>
      </c>
      <c r="F130" s="68" t="s">
        <v>66</v>
      </c>
      <c r="G130" s="68" t="s">
        <v>66</v>
      </c>
      <c r="H130" s="68" t="s">
        <v>66</v>
      </c>
      <c r="I130" s="68" t="s">
        <v>66</v>
      </c>
      <c r="J130" s="68" t="s">
        <v>66</v>
      </c>
      <c r="K130" s="68" t="s">
        <v>66</v>
      </c>
    </row>
    <row r="131" spans="2:11" x14ac:dyDescent="0.25">
      <c r="B131" s="104">
        <v>121</v>
      </c>
      <c r="C131" s="95" t="s">
        <v>320</v>
      </c>
      <c r="D131" s="62" t="s">
        <v>66</v>
      </c>
      <c r="E131" s="62" t="s">
        <v>66</v>
      </c>
      <c r="F131" s="63" t="s">
        <v>66</v>
      </c>
      <c r="G131" s="63" t="s">
        <v>66</v>
      </c>
      <c r="H131" s="62" t="s">
        <v>66</v>
      </c>
      <c r="I131" s="62" t="s">
        <v>66</v>
      </c>
      <c r="J131" s="62" t="s">
        <v>66</v>
      </c>
      <c r="K131" s="62" t="s">
        <v>66</v>
      </c>
    </row>
    <row r="132" spans="2:11" x14ac:dyDescent="0.25">
      <c r="B132" s="103">
        <v>122</v>
      </c>
      <c r="C132" s="94" t="s">
        <v>99</v>
      </c>
      <c r="D132" s="15" t="s">
        <v>66</v>
      </c>
      <c r="E132" s="15" t="s">
        <v>66</v>
      </c>
      <c r="F132" s="17" t="s">
        <v>66</v>
      </c>
      <c r="G132" s="17" t="s">
        <v>66</v>
      </c>
      <c r="H132" s="15" t="s">
        <v>66</v>
      </c>
      <c r="I132" s="15" t="s">
        <v>66</v>
      </c>
      <c r="J132" s="14" t="s">
        <v>66</v>
      </c>
      <c r="K132" s="14" t="s">
        <v>66</v>
      </c>
    </row>
    <row r="133" spans="2:11" x14ac:dyDescent="0.25">
      <c r="B133" s="58">
        <v>123</v>
      </c>
      <c r="C133" s="95" t="s">
        <v>321</v>
      </c>
      <c r="D133" s="62" t="s">
        <v>66</v>
      </c>
      <c r="E133" s="62" t="s">
        <v>66</v>
      </c>
      <c r="F133" s="63" t="s">
        <v>66</v>
      </c>
      <c r="G133" s="63" t="s">
        <v>66</v>
      </c>
      <c r="H133" s="62" t="s">
        <v>66</v>
      </c>
      <c r="I133" s="62" t="s">
        <v>66</v>
      </c>
      <c r="J133" s="62" t="s">
        <v>66</v>
      </c>
      <c r="K133" s="62" t="s">
        <v>66</v>
      </c>
    </row>
    <row r="134" spans="2:11" x14ac:dyDescent="0.25">
      <c r="B134" s="104">
        <v>124</v>
      </c>
      <c r="C134" s="89" t="s">
        <v>346</v>
      </c>
      <c r="D134" s="16" t="s">
        <v>66</v>
      </c>
      <c r="E134" s="16" t="s">
        <v>66</v>
      </c>
      <c r="F134" s="16" t="s">
        <v>66</v>
      </c>
      <c r="G134" s="16" t="s">
        <v>66</v>
      </c>
      <c r="H134" s="16" t="s">
        <v>66</v>
      </c>
      <c r="I134" s="16" t="s">
        <v>66</v>
      </c>
      <c r="J134" s="16" t="s">
        <v>66</v>
      </c>
      <c r="K134" s="16" t="s">
        <v>66</v>
      </c>
    </row>
    <row r="135" spans="2:11" x14ac:dyDescent="0.25">
      <c r="B135" s="104">
        <v>125</v>
      </c>
      <c r="C135" s="88" t="s">
        <v>347</v>
      </c>
      <c r="D135" s="65" t="s">
        <v>66</v>
      </c>
      <c r="E135" s="65" t="s">
        <v>66</v>
      </c>
      <c r="F135" s="65" t="s">
        <v>66</v>
      </c>
      <c r="G135" s="65" t="s">
        <v>66</v>
      </c>
      <c r="H135" s="65" t="s">
        <v>66</v>
      </c>
      <c r="I135" s="65" t="s">
        <v>66</v>
      </c>
      <c r="J135" s="65" t="s">
        <v>66</v>
      </c>
      <c r="K135" s="65" t="s">
        <v>66</v>
      </c>
    </row>
    <row r="136" spans="2:11" x14ac:dyDescent="0.25">
      <c r="B136" s="103">
        <v>126</v>
      </c>
      <c r="C136" s="89" t="s">
        <v>384</v>
      </c>
      <c r="D136" s="16" t="s">
        <v>66</v>
      </c>
      <c r="E136" s="16" t="s">
        <v>66</v>
      </c>
      <c r="F136" s="16" t="s">
        <v>66</v>
      </c>
      <c r="G136" s="16" t="s">
        <v>66</v>
      </c>
      <c r="H136" s="16" t="s">
        <v>66</v>
      </c>
      <c r="I136" s="16" t="s">
        <v>66</v>
      </c>
      <c r="J136" s="16" t="s">
        <v>66</v>
      </c>
      <c r="K136" s="16" t="s">
        <v>66</v>
      </c>
    </row>
    <row r="137" spans="2:11" x14ac:dyDescent="0.25">
      <c r="B137" s="58">
        <v>127</v>
      </c>
      <c r="C137" s="89" t="s">
        <v>385</v>
      </c>
      <c r="D137" s="64" t="s">
        <v>71</v>
      </c>
      <c r="E137" s="64" t="s">
        <v>71</v>
      </c>
      <c r="F137" s="64" t="s">
        <v>71</v>
      </c>
      <c r="G137" s="64" t="s">
        <v>71</v>
      </c>
      <c r="H137" s="16" t="s">
        <v>66</v>
      </c>
      <c r="I137" s="16" t="s">
        <v>66</v>
      </c>
      <c r="J137" s="64" t="s">
        <v>71</v>
      </c>
      <c r="K137" s="64" t="s">
        <v>71</v>
      </c>
    </row>
    <row r="138" spans="2:11" x14ac:dyDescent="0.25">
      <c r="B138" s="104">
        <v>128</v>
      </c>
      <c r="C138" s="89" t="s">
        <v>386</v>
      </c>
      <c r="D138" s="16" t="s">
        <v>66</v>
      </c>
      <c r="E138" s="16" t="s">
        <v>66</v>
      </c>
      <c r="F138" s="16" t="s">
        <v>66</v>
      </c>
      <c r="G138" s="16" t="s">
        <v>66</v>
      </c>
      <c r="H138" s="16" t="s">
        <v>66</v>
      </c>
      <c r="I138" s="16" t="s">
        <v>66</v>
      </c>
      <c r="J138" s="16" t="s">
        <v>66</v>
      </c>
      <c r="K138" s="16" t="s">
        <v>66</v>
      </c>
    </row>
    <row r="139" spans="2:11" x14ac:dyDescent="0.25">
      <c r="B139" s="104">
        <v>129</v>
      </c>
      <c r="C139" s="95" t="s">
        <v>322</v>
      </c>
      <c r="D139" s="62" t="s">
        <v>66</v>
      </c>
      <c r="E139" s="62" t="s">
        <v>66</v>
      </c>
      <c r="F139" s="63" t="s">
        <v>66</v>
      </c>
      <c r="G139" s="63" t="s">
        <v>66</v>
      </c>
      <c r="H139" s="62" t="s">
        <v>66</v>
      </c>
      <c r="I139" s="62" t="s">
        <v>66</v>
      </c>
      <c r="J139" s="62" t="s">
        <v>66</v>
      </c>
      <c r="K139" s="62" t="s">
        <v>66</v>
      </c>
    </row>
    <row r="140" spans="2:11" x14ac:dyDescent="0.25">
      <c r="B140" s="103">
        <v>130</v>
      </c>
      <c r="C140" s="89" t="s">
        <v>387</v>
      </c>
      <c r="D140" s="64" t="s">
        <v>71</v>
      </c>
      <c r="E140" s="64" t="s">
        <v>71</v>
      </c>
      <c r="F140" s="16" t="s">
        <v>66</v>
      </c>
      <c r="G140" s="16" t="s">
        <v>66</v>
      </c>
      <c r="H140" s="16" t="s">
        <v>66</v>
      </c>
      <c r="I140" s="16" t="s">
        <v>66</v>
      </c>
      <c r="J140" s="64" t="s">
        <v>71</v>
      </c>
      <c r="K140" s="64" t="s">
        <v>71</v>
      </c>
    </row>
    <row r="141" spans="2:11" x14ac:dyDescent="0.25">
      <c r="B141" s="58">
        <v>131</v>
      </c>
      <c r="C141" s="94" t="s">
        <v>100</v>
      </c>
      <c r="D141" s="15" t="s">
        <v>66</v>
      </c>
      <c r="E141" s="15" t="s">
        <v>66</v>
      </c>
      <c r="F141" s="16" t="s">
        <v>66</v>
      </c>
      <c r="G141" s="16" t="s">
        <v>66</v>
      </c>
      <c r="H141" s="15" t="s">
        <v>71</v>
      </c>
      <c r="I141" s="15" t="s">
        <v>71</v>
      </c>
      <c r="J141" s="14" t="s">
        <v>66</v>
      </c>
      <c r="K141" s="14" t="s">
        <v>66</v>
      </c>
    </row>
    <row r="142" spans="2:11" x14ac:dyDescent="0.25">
      <c r="B142" s="104">
        <v>132</v>
      </c>
      <c r="C142" s="94" t="s">
        <v>101</v>
      </c>
      <c r="D142" s="14" t="s">
        <v>66</v>
      </c>
      <c r="E142" s="14" t="s">
        <v>66</v>
      </c>
      <c r="F142" s="16" t="s">
        <v>66</v>
      </c>
      <c r="G142" s="16" t="s">
        <v>66</v>
      </c>
      <c r="H142" s="15" t="s">
        <v>66</v>
      </c>
      <c r="I142" s="15" t="s">
        <v>66</v>
      </c>
      <c r="J142" s="14" t="s">
        <v>66</v>
      </c>
      <c r="K142" s="14" t="s">
        <v>66</v>
      </c>
    </row>
    <row r="143" spans="2:11" x14ac:dyDescent="0.25">
      <c r="B143" s="104">
        <v>133</v>
      </c>
      <c r="C143" s="95" t="s">
        <v>323</v>
      </c>
      <c r="D143" s="62" t="s">
        <v>66</v>
      </c>
      <c r="E143" s="62" t="s">
        <v>66</v>
      </c>
      <c r="F143" s="63" t="s">
        <v>66</v>
      </c>
      <c r="G143" s="63" t="s">
        <v>66</v>
      </c>
      <c r="H143" s="62" t="s">
        <v>66</v>
      </c>
      <c r="I143" s="62" t="s">
        <v>66</v>
      </c>
      <c r="J143" s="62" t="s">
        <v>66</v>
      </c>
      <c r="K143" s="62" t="s">
        <v>66</v>
      </c>
    </row>
    <row r="144" spans="2:11" x14ac:dyDescent="0.25">
      <c r="B144" s="103">
        <v>134</v>
      </c>
      <c r="C144" s="94" t="s">
        <v>102</v>
      </c>
      <c r="D144" s="15" t="s">
        <v>66</v>
      </c>
      <c r="E144" s="15" t="s">
        <v>66</v>
      </c>
      <c r="F144" s="16" t="s">
        <v>66</v>
      </c>
      <c r="G144" s="16" t="s">
        <v>66</v>
      </c>
      <c r="H144" s="15" t="s">
        <v>66</v>
      </c>
      <c r="I144" s="15" t="s">
        <v>66</v>
      </c>
      <c r="J144" s="14" t="s">
        <v>66</v>
      </c>
      <c r="K144" s="14" t="s">
        <v>66</v>
      </c>
    </row>
    <row r="145" spans="2:11" x14ac:dyDescent="0.25">
      <c r="B145" s="58">
        <v>135</v>
      </c>
      <c r="C145" s="94" t="s">
        <v>103</v>
      </c>
      <c r="D145" s="15" t="s">
        <v>66</v>
      </c>
      <c r="E145" s="15" t="s">
        <v>66</v>
      </c>
      <c r="F145" s="16" t="s">
        <v>66</v>
      </c>
      <c r="G145" s="16" t="s">
        <v>66</v>
      </c>
      <c r="H145" s="15" t="s">
        <v>66</v>
      </c>
      <c r="I145" s="15" t="s">
        <v>66</v>
      </c>
      <c r="J145" s="14" t="s">
        <v>66</v>
      </c>
      <c r="K145" s="14" t="s">
        <v>66</v>
      </c>
    </row>
    <row r="146" spans="2:11" x14ac:dyDescent="0.25">
      <c r="B146" s="104">
        <v>136</v>
      </c>
      <c r="C146" s="88" t="s">
        <v>418</v>
      </c>
      <c r="D146" s="70" t="s">
        <v>66</v>
      </c>
      <c r="E146" s="70" t="s">
        <v>66</v>
      </c>
      <c r="F146" s="70" t="s">
        <v>66</v>
      </c>
      <c r="G146" s="70" t="s">
        <v>66</v>
      </c>
      <c r="H146" s="70" t="s">
        <v>66</v>
      </c>
      <c r="I146" s="70" t="s">
        <v>66</v>
      </c>
      <c r="J146" s="70" t="s">
        <v>66</v>
      </c>
      <c r="K146" s="70" t="s">
        <v>66</v>
      </c>
    </row>
    <row r="147" spans="2:11" x14ac:dyDescent="0.25">
      <c r="B147" s="104">
        <v>137</v>
      </c>
      <c r="C147" s="95" t="s">
        <v>324</v>
      </c>
      <c r="D147" s="62" t="s">
        <v>66</v>
      </c>
      <c r="E147" s="62" t="s">
        <v>66</v>
      </c>
      <c r="F147" s="63" t="s">
        <v>66</v>
      </c>
      <c r="G147" s="63" t="s">
        <v>66</v>
      </c>
      <c r="H147" s="62" t="s">
        <v>66</v>
      </c>
      <c r="I147" s="62" t="s">
        <v>66</v>
      </c>
      <c r="J147" s="62" t="s">
        <v>66</v>
      </c>
      <c r="K147" s="62" t="s">
        <v>66</v>
      </c>
    </row>
    <row r="148" spans="2:11" x14ac:dyDescent="0.25">
      <c r="B148" s="103">
        <v>138</v>
      </c>
      <c r="C148" s="89" t="s">
        <v>388</v>
      </c>
      <c r="D148" s="16" t="s">
        <v>66</v>
      </c>
      <c r="E148" s="16" t="s">
        <v>66</v>
      </c>
      <c r="F148" s="16" t="s">
        <v>66</v>
      </c>
      <c r="G148" s="16" t="s">
        <v>66</v>
      </c>
      <c r="H148" s="16" t="s">
        <v>66</v>
      </c>
      <c r="I148" s="16" t="s">
        <v>66</v>
      </c>
      <c r="J148" s="16" t="s">
        <v>66</v>
      </c>
      <c r="K148" s="16" t="s">
        <v>66</v>
      </c>
    </row>
    <row r="149" spans="2:11" x14ac:dyDescent="0.25">
      <c r="B149" s="58">
        <v>139</v>
      </c>
      <c r="C149" s="95" t="s">
        <v>325</v>
      </c>
      <c r="D149" s="62" t="s">
        <v>66</v>
      </c>
      <c r="E149" s="62" t="s">
        <v>66</v>
      </c>
      <c r="F149" s="63" t="s">
        <v>66</v>
      </c>
      <c r="G149" s="63" t="s">
        <v>66</v>
      </c>
      <c r="H149" s="62" t="s">
        <v>66</v>
      </c>
      <c r="I149" s="62" t="s">
        <v>66</v>
      </c>
      <c r="J149" s="62" t="s">
        <v>66</v>
      </c>
      <c r="K149" s="62" t="s">
        <v>66</v>
      </c>
    </row>
    <row r="150" spans="2:11" x14ac:dyDescent="0.25">
      <c r="B150" s="104">
        <v>140</v>
      </c>
      <c r="C150" s="88" t="s">
        <v>419</v>
      </c>
      <c r="D150" s="70" t="s">
        <v>66</v>
      </c>
      <c r="E150" s="70" t="s">
        <v>66</v>
      </c>
      <c r="F150" s="70" t="s">
        <v>66</v>
      </c>
      <c r="G150" s="70" t="s">
        <v>66</v>
      </c>
      <c r="H150" s="70" t="s">
        <v>66</v>
      </c>
      <c r="I150" s="70" t="s">
        <v>66</v>
      </c>
      <c r="J150" s="70" t="s">
        <v>66</v>
      </c>
      <c r="K150" s="70" t="s">
        <v>66</v>
      </c>
    </row>
    <row r="151" spans="2:11" x14ac:dyDescent="0.25">
      <c r="B151" s="104">
        <v>141</v>
      </c>
      <c r="C151" s="89" t="s">
        <v>389</v>
      </c>
      <c r="D151" s="64" t="s">
        <v>71</v>
      </c>
      <c r="E151" s="64" t="s">
        <v>71</v>
      </c>
      <c r="F151" s="16" t="s">
        <v>66</v>
      </c>
      <c r="G151" s="16" t="s">
        <v>66</v>
      </c>
      <c r="H151" s="16" t="s">
        <v>66</v>
      </c>
      <c r="I151" s="16" t="s">
        <v>66</v>
      </c>
      <c r="J151" s="64" t="s">
        <v>71</v>
      </c>
      <c r="K151" s="64" t="s">
        <v>71</v>
      </c>
    </row>
    <row r="152" spans="2:11" x14ac:dyDescent="0.25">
      <c r="B152" s="103">
        <v>142</v>
      </c>
      <c r="C152" s="94" t="s">
        <v>104</v>
      </c>
      <c r="D152" s="15" t="s">
        <v>66</v>
      </c>
      <c r="E152" s="15" t="s">
        <v>66</v>
      </c>
      <c r="F152" s="17" t="s">
        <v>66</v>
      </c>
      <c r="G152" s="17" t="s">
        <v>66</v>
      </c>
      <c r="H152" s="15" t="s">
        <v>66</v>
      </c>
      <c r="I152" s="15" t="s">
        <v>66</v>
      </c>
      <c r="J152" s="14" t="s">
        <v>66</v>
      </c>
      <c r="K152" s="14" t="s">
        <v>66</v>
      </c>
    </row>
    <row r="153" spans="2:11" ht="30" x14ac:dyDescent="0.25">
      <c r="B153" s="58">
        <v>143</v>
      </c>
      <c r="C153" s="89" t="s">
        <v>390</v>
      </c>
      <c r="D153" s="16" t="s">
        <v>66</v>
      </c>
      <c r="E153" s="16" t="s">
        <v>66</v>
      </c>
      <c r="F153" s="16" t="s">
        <v>66</v>
      </c>
      <c r="G153" s="16" t="s">
        <v>66</v>
      </c>
      <c r="H153" s="16" t="s">
        <v>66</v>
      </c>
      <c r="I153" s="16" t="s">
        <v>66</v>
      </c>
      <c r="J153" s="16" t="s">
        <v>66</v>
      </c>
      <c r="K153" s="16" t="s">
        <v>66</v>
      </c>
    </row>
    <row r="154" spans="2:11" x14ac:dyDescent="0.25">
      <c r="B154" s="104">
        <v>144</v>
      </c>
      <c r="C154" s="89" t="s">
        <v>420</v>
      </c>
      <c r="D154" s="68" t="s">
        <v>66</v>
      </c>
      <c r="E154" s="68" t="s">
        <v>66</v>
      </c>
      <c r="F154" s="69" t="s">
        <v>71</v>
      </c>
      <c r="G154" s="68" t="s">
        <v>66</v>
      </c>
      <c r="H154" s="68" t="s">
        <v>66</v>
      </c>
      <c r="I154" s="68" t="s">
        <v>66</v>
      </c>
      <c r="J154" s="69" t="s">
        <v>71</v>
      </c>
      <c r="K154" s="68" t="s">
        <v>66</v>
      </c>
    </row>
    <row r="155" spans="2:11" x14ac:dyDescent="0.25">
      <c r="B155" s="104">
        <v>145</v>
      </c>
      <c r="C155" s="88" t="s">
        <v>348</v>
      </c>
      <c r="D155" s="65" t="s">
        <v>66</v>
      </c>
      <c r="E155" s="65" t="s">
        <v>66</v>
      </c>
      <c r="F155" s="65" t="s">
        <v>66</v>
      </c>
      <c r="G155" s="65" t="s">
        <v>66</v>
      </c>
      <c r="H155" s="65" t="s">
        <v>66</v>
      </c>
      <c r="I155" s="65" t="s">
        <v>66</v>
      </c>
      <c r="J155" s="65" t="s">
        <v>66</v>
      </c>
      <c r="K155" s="65" t="s">
        <v>66</v>
      </c>
    </row>
    <row r="156" spans="2:11" x14ac:dyDescent="0.25">
      <c r="B156" s="103">
        <v>146</v>
      </c>
      <c r="C156" s="89" t="s">
        <v>349</v>
      </c>
      <c r="D156" s="16" t="s">
        <v>66</v>
      </c>
      <c r="E156" s="16" t="s">
        <v>66</v>
      </c>
      <c r="F156" s="16" t="s">
        <v>66</v>
      </c>
      <c r="G156" s="64" t="s">
        <v>71</v>
      </c>
      <c r="H156" s="16" t="s">
        <v>66</v>
      </c>
      <c r="I156" s="16" t="s">
        <v>66</v>
      </c>
      <c r="J156" s="16" t="s">
        <v>66</v>
      </c>
      <c r="K156" s="16" t="s">
        <v>66</v>
      </c>
    </row>
    <row r="157" spans="2:11" x14ac:dyDescent="0.25">
      <c r="B157" s="58">
        <v>147</v>
      </c>
      <c r="C157" s="95" t="s">
        <v>326</v>
      </c>
      <c r="D157" s="62" t="s">
        <v>66</v>
      </c>
      <c r="E157" s="62" t="s">
        <v>66</v>
      </c>
      <c r="F157" s="63" t="s">
        <v>71</v>
      </c>
      <c r="G157" s="63" t="s">
        <v>71</v>
      </c>
      <c r="H157" s="62" t="s">
        <v>66</v>
      </c>
      <c r="I157" s="62" t="s">
        <v>66</v>
      </c>
      <c r="J157" s="62" t="s">
        <v>66</v>
      </c>
      <c r="K157" s="62" t="s">
        <v>66</v>
      </c>
    </row>
    <row r="158" spans="2:11" x14ac:dyDescent="0.25">
      <c r="B158" s="104">
        <v>148</v>
      </c>
      <c r="C158" s="94" t="s">
        <v>105</v>
      </c>
      <c r="D158" s="15" t="s">
        <v>66</v>
      </c>
      <c r="E158" s="15" t="s">
        <v>66</v>
      </c>
      <c r="F158" s="16" t="s">
        <v>66</v>
      </c>
      <c r="G158" s="16" t="s">
        <v>66</v>
      </c>
      <c r="H158" s="15" t="s">
        <v>66</v>
      </c>
      <c r="I158" s="15" t="s">
        <v>66</v>
      </c>
      <c r="J158" s="14" t="s">
        <v>66</v>
      </c>
      <c r="K158" s="14" t="s">
        <v>66</v>
      </c>
    </row>
    <row r="159" spans="2:11" x14ac:dyDescent="0.25">
      <c r="B159" s="104">
        <v>149</v>
      </c>
      <c r="C159" s="89" t="s">
        <v>391</v>
      </c>
      <c r="D159" s="16" t="s">
        <v>66</v>
      </c>
      <c r="E159" s="16" t="s">
        <v>66</v>
      </c>
      <c r="F159" s="16" t="s">
        <v>66</v>
      </c>
      <c r="G159" s="16" t="s">
        <v>66</v>
      </c>
      <c r="H159" s="16" t="s">
        <v>66</v>
      </c>
      <c r="I159" s="16" t="s">
        <v>66</v>
      </c>
      <c r="J159" s="16" t="s">
        <v>66</v>
      </c>
      <c r="K159" s="16" t="s">
        <v>66</v>
      </c>
    </row>
    <row r="160" spans="2:11" x14ac:dyDescent="0.25">
      <c r="B160" s="103">
        <v>150</v>
      </c>
      <c r="C160" s="95" t="s">
        <v>327</v>
      </c>
      <c r="D160" s="62" t="s">
        <v>66</v>
      </c>
      <c r="E160" s="62" t="s">
        <v>66</v>
      </c>
      <c r="F160" s="63" t="s">
        <v>66</v>
      </c>
      <c r="G160" s="63" t="s">
        <v>66</v>
      </c>
      <c r="H160" s="62" t="s">
        <v>66</v>
      </c>
      <c r="I160" s="62" t="s">
        <v>66</v>
      </c>
      <c r="J160" s="62" t="s">
        <v>66</v>
      </c>
      <c r="K160" s="62" t="s">
        <v>66</v>
      </c>
    </row>
    <row r="161" spans="2:11" x14ac:dyDescent="0.25">
      <c r="B161" s="58">
        <v>151</v>
      </c>
      <c r="C161" s="95" t="s">
        <v>328</v>
      </c>
      <c r="D161" s="62" t="s">
        <v>66</v>
      </c>
      <c r="E161" s="62" t="s">
        <v>66</v>
      </c>
      <c r="F161" s="63" t="s">
        <v>66</v>
      </c>
      <c r="G161" s="63" t="s">
        <v>66</v>
      </c>
      <c r="H161" s="62" t="s">
        <v>66</v>
      </c>
      <c r="I161" s="62" t="s">
        <v>66</v>
      </c>
      <c r="J161" s="62" t="s">
        <v>66</v>
      </c>
      <c r="K161" s="62" t="s">
        <v>66</v>
      </c>
    </row>
    <row r="162" spans="2:11" x14ac:dyDescent="0.25">
      <c r="B162" s="104">
        <v>152</v>
      </c>
      <c r="C162" s="88" t="s">
        <v>392</v>
      </c>
      <c r="D162" s="65" t="s">
        <v>66</v>
      </c>
      <c r="E162" s="65" t="s">
        <v>66</v>
      </c>
      <c r="F162" s="65" t="s">
        <v>66</v>
      </c>
      <c r="G162" s="65" t="s">
        <v>66</v>
      </c>
      <c r="H162" s="65" t="s">
        <v>66</v>
      </c>
      <c r="I162" s="65" t="s">
        <v>66</v>
      </c>
      <c r="J162" s="65" t="s">
        <v>66</v>
      </c>
      <c r="K162" s="65" t="s">
        <v>66</v>
      </c>
    </row>
    <row r="163" spans="2:11" x14ac:dyDescent="0.25">
      <c r="B163" s="104">
        <v>153</v>
      </c>
      <c r="C163" s="95" t="s">
        <v>329</v>
      </c>
      <c r="D163" s="62" t="s">
        <v>71</v>
      </c>
      <c r="E163" s="62" t="s">
        <v>71</v>
      </c>
      <c r="F163" s="63" t="s">
        <v>71</v>
      </c>
      <c r="G163" s="63" t="s">
        <v>71</v>
      </c>
      <c r="H163" s="62" t="s">
        <v>66</v>
      </c>
      <c r="I163" s="62" t="s">
        <v>66</v>
      </c>
      <c r="J163" s="62" t="s">
        <v>71</v>
      </c>
      <c r="K163" s="62" t="s">
        <v>71</v>
      </c>
    </row>
    <row r="164" spans="2:11" x14ac:dyDescent="0.25">
      <c r="B164" s="103">
        <v>154</v>
      </c>
      <c r="C164" s="91" t="s">
        <v>393</v>
      </c>
      <c r="D164" s="67" t="s">
        <v>66</v>
      </c>
      <c r="E164" s="67" t="s">
        <v>66</v>
      </c>
      <c r="F164" s="67" t="s">
        <v>66</v>
      </c>
      <c r="G164" s="67" t="s">
        <v>66</v>
      </c>
      <c r="H164" s="85" t="s">
        <v>71</v>
      </c>
      <c r="I164" s="85" t="s">
        <v>71</v>
      </c>
      <c r="J164" s="67" t="s">
        <v>66</v>
      </c>
      <c r="K164" s="67" t="s">
        <v>66</v>
      </c>
    </row>
    <row r="165" spans="2:11" x14ac:dyDescent="0.25">
      <c r="B165" s="58">
        <v>155</v>
      </c>
      <c r="C165" s="95" t="s">
        <v>330</v>
      </c>
      <c r="D165" s="62" t="s">
        <v>66</v>
      </c>
      <c r="E165" s="62" t="s">
        <v>66</v>
      </c>
      <c r="F165" s="63" t="s">
        <v>66</v>
      </c>
      <c r="G165" s="63" t="s">
        <v>66</v>
      </c>
      <c r="H165" s="62" t="s">
        <v>71</v>
      </c>
      <c r="I165" s="62" t="s">
        <v>71</v>
      </c>
      <c r="J165" s="62" t="s">
        <v>66</v>
      </c>
      <c r="K165" s="62" t="s">
        <v>66</v>
      </c>
    </row>
    <row r="166" spans="2:11" x14ac:dyDescent="0.25">
      <c r="B166" s="104">
        <v>156</v>
      </c>
      <c r="C166" s="95" t="s">
        <v>331</v>
      </c>
      <c r="D166" s="62" t="s">
        <v>71</v>
      </c>
      <c r="E166" s="62" t="s">
        <v>71</v>
      </c>
      <c r="F166" s="63" t="s">
        <v>71</v>
      </c>
      <c r="G166" s="63" t="s">
        <v>71</v>
      </c>
      <c r="H166" s="62" t="s">
        <v>66</v>
      </c>
      <c r="I166" s="62" t="s">
        <v>66</v>
      </c>
      <c r="J166" s="62" t="s">
        <v>66</v>
      </c>
      <c r="K166" s="62" t="s">
        <v>66</v>
      </c>
    </row>
    <row r="167" spans="2:11" x14ac:dyDescent="0.25">
      <c r="B167" s="104">
        <v>157</v>
      </c>
      <c r="C167" s="94" t="s">
        <v>106</v>
      </c>
      <c r="D167" s="15" t="s">
        <v>66</v>
      </c>
      <c r="E167" s="15" t="s">
        <v>66</v>
      </c>
      <c r="F167" s="16" t="s">
        <v>66</v>
      </c>
      <c r="G167" s="16" t="s">
        <v>66</v>
      </c>
      <c r="H167" s="15" t="s">
        <v>66</v>
      </c>
      <c r="I167" s="15" t="s">
        <v>66</v>
      </c>
      <c r="J167" s="14" t="s">
        <v>66</v>
      </c>
      <c r="K167" s="14" t="s">
        <v>66</v>
      </c>
    </row>
    <row r="168" spans="2:11" x14ac:dyDescent="0.25">
      <c r="B168" s="103">
        <v>158</v>
      </c>
      <c r="C168" s="88" t="s">
        <v>350</v>
      </c>
      <c r="D168" s="65" t="s">
        <v>66</v>
      </c>
      <c r="E168" s="65" t="s">
        <v>66</v>
      </c>
      <c r="F168" s="65" t="s">
        <v>66</v>
      </c>
      <c r="G168" s="65" t="s">
        <v>66</v>
      </c>
      <c r="H168" s="65" t="s">
        <v>66</v>
      </c>
      <c r="I168" s="66" t="s">
        <v>71</v>
      </c>
      <c r="J168" s="66" t="s">
        <v>71</v>
      </c>
      <c r="K168" s="65" t="s">
        <v>66</v>
      </c>
    </row>
    <row r="169" spans="2:11" x14ac:dyDescent="0.25">
      <c r="B169" s="58">
        <v>159</v>
      </c>
      <c r="C169" s="89" t="s">
        <v>394</v>
      </c>
      <c r="D169" s="16" t="s">
        <v>66</v>
      </c>
      <c r="E169" s="16" t="s">
        <v>66</v>
      </c>
      <c r="F169" s="16" t="s">
        <v>66</v>
      </c>
      <c r="G169" s="16" t="s">
        <v>66</v>
      </c>
      <c r="H169" s="16" t="s">
        <v>66</v>
      </c>
      <c r="I169" s="16" t="s">
        <v>66</v>
      </c>
      <c r="J169" s="16" t="s">
        <v>66</v>
      </c>
      <c r="K169" s="16" t="s">
        <v>66</v>
      </c>
    </row>
    <row r="170" spans="2:11" x14ac:dyDescent="0.25">
      <c r="B170" s="104">
        <v>160</v>
      </c>
      <c r="C170" s="88" t="s">
        <v>421</v>
      </c>
      <c r="D170" s="70" t="s">
        <v>66</v>
      </c>
      <c r="E170" s="70" t="s">
        <v>66</v>
      </c>
      <c r="F170" s="70" t="s">
        <v>66</v>
      </c>
      <c r="G170" s="70" t="s">
        <v>66</v>
      </c>
      <c r="H170" s="70" t="s">
        <v>66</v>
      </c>
      <c r="I170" s="70" t="s">
        <v>66</v>
      </c>
      <c r="J170" s="70" t="s">
        <v>66</v>
      </c>
      <c r="K170" s="70" t="s">
        <v>66</v>
      </c>
    </row>
    <row r="171" spans="2:11" ht="30" x14ac:dyDescent="0.25">
      <c r="B171" s="104">
        <v>161</v>
      </c>
      <c r="C171" s="94" t="s">
        <v>107</v>
      </c>
      <c r="D171" s="15" t="s">
        <v>66</v>
      </c>
      <c r="E171" s="15" t="s">
        <v>66</v>
      </c>
      <c r="F171" s="16" t="s">
        <v>66</v>
      </c>
      <c r="G171" s="16" t="s">
        <v>66</v>
      </c>
      <c r="H171" s="15" t="s">
        <v>66</v>
      </c>
      <c r="I171" s="15" t="s">
        <v>66</v>
      </c>
      <c r="J171" s="14" t="s">
        <v>66</v>
      </c>
      <c r="K171" s="14" t="s">
        <v>66</v>
      </c>
    </row>
    <row r="172" spans="2:11" x14ac:dyDescent="0.25">
      <c r="B172" s="103">
        <v>162</v>
      </c>
      <c r="C172" s="95" t="s">
        <v>332</v>
      </c>
      <c r="D172" s="62" t="s">
        <v>66</v>
      </c>
      <c r="E172" s="62" t="s">
        <v>66</v>
      </c>
      <c r="F172" s="63" t="s">
        <v>66</v>
      </c>
      <c r="G172" s="63" t="s">
        <v>66</v>
      </c>
      <c r="H172" s="62" t="s">
        <v>66</v>
      </c>
      <c r="I172" s="62" t="s">
        <v>66</v>
      </c>
      <c r="J172" s="62" t="s">
        <v>66</v>
      </c>
      <c r="K172" s="62" t="s">
        <v>66</v>
      </c>
    </row>
    <row r="173" spans="2:11" x14ac:dyDescent="0.25">
      <c r="B173" s="58">
        <v>163</v>
      </c>
      <c r="C173" s="94" t="s">
        <v>108</v>
      </c>
      <c r="D173" s="15" t="s">
        <v>71</v>
      </c>
      <c r="E173" s="15" t="s">
        <v>71</v>
      </c>
      <c r="F173" s="17" t="s">
        <v>71</v>
      </c>
      <c r="G173" s="17" t="s">
        <v>71</v>
      </c>
      <c r="H173" s="15" t="s">
        <v>71</v>
      </c>
      <c r="I173" s="15" t="s">
        <v>71</v>
      </c>
      <c r="J173" s="15" t="s">
        <v>71</v>
      </c>
      <c r="K173" s="15" t="s">
        <v>71</v>
      </c>
    </row>
    <row r="174" spans="2:11" x14ac:dyDescent="0.25">
      <c r="B174" s="104">
        <v>164</v>
      </c>
      <c r="C174" s="88" t="s">
        <v>351</v>
      </c>
      <c r="D174" s="65" t="s">
        <v>66</v>
      </c>
      <c r="E174" s="65" t="s">
        <v>66</v>
      </c>
      <c r="F174" s="65" t="s">
        <v>66</v>
      </c>
      <c r="G174" s="65" t="s">
        <v>66</v>
      </c>
      <c r="H174" s="65" t="s">
        <v>66</v>
      </c>
      <c r="I174" s="66" t="s">
        <v>71</v>
      </c>
      <c r="J174" s="65" t="s">
        <v>66</v>
      </c>
      <c r="K174" s="65" t="s">
        <v>66</v>
      </c>
    </row>
    <row r="175" spans="2:11" x14ac:dyDescent="0.25">
      <c r="B175" s="104">
        <v>165</v>
      </c>
      <c r="C175" s="94" t="s">
        <v>109</v>
      </c>
      <c r="D175" s="14" t="s">
        <v>66</v>
      </c>
      <c r="E175" s="14" t="s">
        <v>66</v>
      </c>
      <c r="F175" s="17" t="s">
        <v>66</v>
      </c>
      <c r="G175" s="17" t="s">
        <v>66</v>
      </c>
      <c r="H175" s="14" t="s">
        <v>66</v>
      </c>
      <c r="I175" s="14" t="s">
        <v>66</v>
      </c>
      <c r="J175" s="14" t="s">
        <v>66</v>
      </c>
      <c r="K175" s="14" t="s">
        <v>66</v>
      </c>
    </row>
    <row r="176" spans="2:11" x14ac:dyDescent="0.25">
      <c r="B176" s="103">
        <v>166</v>
      </c>
      <c r="C176" s="95" t="s">
        <v>333</v>
      </c>
      <c r="D176" s="62" t="s">
        <v>66</v>
      </c>
      <c r="E176" s="62" t="s">
        <v>66</v>
      </c>
      <c r="F176" s="63" t="s">
        <v>66</v>
      </c>
      <c r="G176" s="63" t="s">
        <v>66</v>
      </c>
      <c r="H176" s="62" t="s">
        <v>66</v>
      </c>
      <c r="I176" s="62" t="s">
        <v>66</v>
      </c>
      <c r="J176" s="62" t="s">
        <v>66</v>
      </c>
      <c r="K176" s="62" t="s">
        <v>66</v>
      </c>
    </row>
    <row r="177" spans="2:11" x14ac:dyDescent="0.25">
      <c r="B177" s="58">
        <v>167</v>
      </c>
      <c r="C177" s="94" t="s">
        <v>110</v>
      </c>
      <c r="D177" s="15" t="s">
        <v>71</v>
      </c>
      <c r="E177" s="15" t="s">
        <v>71</v>
      </c>
      <c r="F177" s="16" t="s">
        <v>66</v>
      </c>
      <c r="G177" s="16" t="s">
        <v>66</v>
      </c>
      <c r="H177" s="14" t="s">
        <v>66</v>
      </c>
      <c r="I177" s="14" t="s">
        <v>66</v>
      </c>
      <c r="J177" s="14" t="s">
        <v>66</v>
      </c>
      <c r="K177" s="14" t="s">
        <v>66</v>
      </c>
    </row>
    <row r="178" spans="2:11" x14ac:dyDescent="0.25">
      <c r="B178" s="104">
        <v>168</v>
      </c>
      <c r="C178" s="99" t="s">
        <v>334</v>
      </c>
      <c r="D178" s="62" t="s">
        <v>71</v>
      </c>
      <c r="E178" s="62" t="s">
        <v>71</v>
      </c>
      <c r="F178" s="63" t="s">
        <v>71</v>
      </c>
      <c r="G178" s="63" t="s">
        <v>71</v>
      </c>
      <c r="H178" s="62" t="s">
        <v>71</v>
      </c>
      <c r="I178" s="62" t="s">
        <v>71</v>
      </c>
      <c r="J178" s="62" t="s">
        <v>71</v>
      </c>
      <c r="K178" s="62" t="s">
        <v>71</v>
      </c>
    </row>
    <row r="179" spans="2:11" x14ac:dyDescent="0.25">
      <c r="B179" s="104">
        <v>169</v>
      </c>
      <c r="C179" s="88" t="s">
        <v>352</v>
      </c>
      <c r="D179" s="65" t="s">
        <v>66</v>
      </c>
      <c r="E179" s="65" t="s">
        <v>66</v>
      </c>
      <c r="F179" s="65" t="s">
        <v>66</v>
      </c>
      <c r="G179" s="65" t="s">
        <v>66</v>
      </c>
      <c r="H179" s="65" t="s">
        <v>66</v>
      </c>
      <c r="I179" s="65" t="s">
        <v>66</v>
      </c>
      <c r="J179" s="65" t="s">
        <v>66</v>
      </c>
      <c r="K179" s="65" t="s">
        <v>66</v>
      </c>
    </row>
    <row r="180" spans="2:11" x14ac:dyDescent="0.25">
      <c r="B180" s="103">
        <v>170</v>
      </c>
      <c r="C180" s="95" t="s">
        <v>335</v>
      </c>
      <c r="D180" s="62" t="s">
        <v>66</v>
      </c>
      <c r="E180" s="62" t="s">
        <v>66</v>
      </c>
      <c r="F180" s="63" t="s">
        <v>66</v>
      </c>
      <c r="G180" s="63" t="s">
        <v>66</v>
      </c>
      <c r="H180" s="62" t="s">
        <v>66</v>
      </c>
      <c r="I180" s="62" t="s">
        <v>66</v>
      </c>
      <c r="J180" s="62" t="s">
        <v>66</v>
      </c>
      <c r="K180" s="62" t="s">
        <v>66</v>
      </c>
    </row>
    <row r="181" spans="2:11" x14ac:dyDescent="0.25">
      <c r="B181" s="58">
        <v>171</v>
      </c>
      <c r="C181" s="88" t="s">
        <v>395</v>
      </c>
      <c r="D181" s="65" t="s">
        <v>66</v>
      </c>
      <c r="E181" s="65" t="s">
        <v>66</v>
      </c>
      <c r="F181" s="65" t="s">
        <v>66</v>
      </c>
      <c r="G181" s="65" t="s">
        <v>66</v>
      </c>
      <c r="H181" s="65" t="s">
        <v>66</v>
      </c>
      <c r="I181" s="65" t="s">
        <v>66</v>
      </c>
      <c r="J181" s="65" t="s">
        <v>66</v>
      </c>
      <c r="K181" s="65" t="s">
        <v>66</v>
      </c>
    </row>
    <row r="182" spans="2:11" x14ac:dyDescent="0.25">
      <c r="B182" s="104">
        <v>172</v>
      </c>
      <c r="C182" s="95" t="s">
        <v>336</v>
      </c>
      <c r="D182" s="62" t="s">
        <v>66</v>
      </c>
      <c r="E182" s="62" t="s">
        <v>66</v>
      </c>
      <c r="F182" s="63" t="s">
        <v>66</v>
      </c>
      <c r="G182" s="63" t="s">
        <v>66</v>
      </c>
      <c r="H182" s="62" t="s">
        <v>66</v>
      </c>
      <c r="I182" s="62" t="s">
        <v>66</v>
      </c>
      <c r="J182" s="62" t="s">
        <v>66</v>
      </c>
      <c r="K182" s="62" t="s">
        <v>66</v>
      </c>
    </row>
    <row r="183" spans="2:11" x14ac:dyDescent="0.25">
      <c r="B183" s="104">
        <v>173</v>
      </c>
      <c r="C183" s="100" t="s">
        <v>117</v>
      </c>
      <c r="D183" s="14" t="s">
        <v>66</v>
      </c>
      <c r="E183" s="58" t="s">
        <v>66</v>
      </c>
      <c r="F183" s="14" t="s">
        <v>66</v>
      </c>
      <c r="G183" s="14" t="s">
        <v>66</v>
      </c>
      <c r="H183" s="14" t="s">
        <v>66</v>
      </c>
      <c r="I183" s="58" t="s">
        <v>66</v>
      </c>
      <c r="J183" s="14" t="s">
        <v>66</v>
      </c>
      <c r="K183" s="14" t="s">
        <v>66</v>
      </c>
    </row>
    <row r="184" spans="2:11" x14ac:dyDescent="0.25">
      <c r="B184" s="103">
        <v>174</v>
      </c>
      <c r="C184" s="101" t="s">
        <v>118</v>
      </c>
      <c r="D184" s="14" t="s">
        <v>66</v>
      </c>
      <c r="E184" s="58" t="s">
        <v>66</v>
      </c>
      <c r="F184" s="14" t="s">
        <v>66</v>
      </c>
      <c r="G184" s="14" t="s">
        <v>66</v>
      </c>
      <c r="H184" s="14" t="s">
        <v>66</v>
      </c>
      <c r="I184" s="58" t="s">
        <v>66</v>
      </c>
      <c r="J184" s="14" t="s">
        <v>66</v>
      </c>
      <c r="K184" s="14" t="s">
        <v>66</v>
      </c>
    </row>
    <row r="185" spans="2:11" x14ac:dyDescent="0.25">
      <c r="B185" s="58">
        <v>175</v>
      </c>
      <c r="C185" s="95" t="s">
        <v>293</v>
      </c>
      <c r="D185" s="62" t="s">
        <v>66</v>
      </c>
      <c r="E185" s="62" t="s">
        <v>66</v>
      </c>
      <c r="F185" s="62" t="s">
        <v>66</v>
      </c>
      <c r="G185" s="62" t="s">
        <v>66</v>
      </c>
      <c r="H185" s="62" t="s">
        <v>66</v>
      </c>
      <c r="I185" s="62" t="s">
        <v>66</v>
      </c>
      <c r="J185" s="62" t="s">
        <v>66</v>
      </c>
      <c r="K185" s="62" t="s">
        <v>66</v>
      </c>
    </row>
    <row r="186" spans="2:11" x14ac:dyDescent="0.25">
      <c r="B186" s="104">
        <v>176</v>
      </c>
      <c r="C186" s="100" t="s">
        <v>119</v>
      </c>
      <c r="D186" s="58" t="s">
        <v>66</v>
      </c>
      <c r="E186" s="58" t="s">
        <v>66</v>
      </c>
      <c r="F186" s="14" t="s">
        <v>66</v>
      </c>
      <c r="G186" s="14" t="s">
        <v>66</v>
      </c>
      <c r="H186" s="58" t="s">
        <v>290</v>
      </c>
      <c r="I186" s="58" t="s">
        <v>66</v>
      </c>
      <c r="J186" s="14" t="s">
        <v>66</v>
      </c>
      <c r="K186" s="14" t="s">
        <v>66</v>
      </c>
    </row>
    <row r="187" spans="2:11" x14ac:dyDescent="0.25">
      <c r="B187" s="104">
        <v>177</v>
      </c>
      <c r="C187" s="100" t="s">
        <v>120</v>
      </c>
      <c r="D187" s="58" t="s">
        <v>66</v>
      </c>
      <c r="E187" s="58" t="s">
        <v>66</v>
      </c>
      <c r="F187" s="14" t="s">
        <v>66</v>
      </c>
      <c r="G187" s="14" t="s">
        <v>290</v>
      </c>
      <c r="H187" s="58" t="s">
        <v>66</v>
      </c>
      <c r="I187" s="58" t="s">
        <v>66</v>
      </c>
      <c r="J187" s="14" t="s">
        <v>66</v>
      </c>
      <c r="K187" s="14" t="s">
        <v>66</v>
      </c>
    </row>
    <row r="188" spans="2:11" x14ac:dyDescent="0.25">
      <c r="B188" s="103">
        <v>178</v>
      </c>
      <c r="C188" s="100" t="s">
        <v>121</v>
      </c>
      <c r="D188" s="58" t="s">
        <v>66</v>
      </c>
      <c r="E188" s="58" t="s">
        <v>66</v>
      </c>
      <c r="F188" s="14" t="s">
        <v>66</v>
      </c>
      <c r="G188" s="14" t="s">
        <v>66</v>
      </c>
      <c r="H188" s="58" t="s">
        <v>66</v>
      </c>
      <c r="I188" s="58" t="s">
        <v>290</v>
      </c>
      <c r="J188" s="14" t="s">
        <v>66</v>
      </c>
      <c r="K188" s="14" t="s">
        <v>66</v>
      </c>
    </row>
    <row r="189" spans="2:11" x14ac:dyDescent="0.25">
      <c r="B189" s="58">
        <v>179</v>
      </c>
      <c r="C189" s="100" t="s">
        <v>122</v>
      </c>
      <c r="D189" s="14" t="s">
        <v>66</v>
      </c>
      <c r="E189" s="14" t="s">
        <v>66</v>
      </c>
      <c r="F189" s="14" t="s">
        <v>66</v>
      </c>
      <c r="G189" s="14" t="s">
        <v>66</v>
      </c>
      <c r="H189" s="14" t="s">
        <v>66</v>
      </c>
      <c r="I189" s="14" t="s">
        <v>66</v>
      </c>
      <c r="J189" s="14" t="s">
        <v>66</v>
      </c>
      <c r="K189" s="14" t="s">
        <v>66</v>
      </c>
    </row>
    <row r="190" spans="2:11" x14ac:dyDescent="0.25">
      <c r="B190" s="104">
        <v>180</v>
      </c>
      <c r="C190" s="100" t="s">
        <v>123</v>
      </c>
      <c r="D190" s="14" t="s">
        <v>66</v>
      </c>
      <c r="E190" s="14" t="s">
        <v>66</v>
      </c>
      <c r="F190" s="14" t="s">
        <v>290</v>
      </c>
      <c r="G190" s="14" t="s">
        <v>290</v>
      </c>
      <c r="H190" s="14" t="s">
        <v>66</v>
      </c>
      <c r="I190" s="14" t="s">
        <v>66</v>
      </c>
      <c r="J190" s="14" t="s">
        <v>66</v>
      </c>
      <c r="K190" s="14" t="s">
        <v>66</v>
      </c>
    </row>
    <row r="191" spans="2:11" x14ac:dyDescent="0.25">
      <c r="B191" s="104">
        <v>181</v>
      </c>
      <c r="C191" s="101" t="s">
        <v>124</v>
      </c>
      <c r="D191" s="58" t="s">
        <v>66</v>
      </c>
      <c r="E191" s="58" t="s">
        <v>66</v>
      </c>
      <c r="F191" s="14" t="s">
        <v>66</v>
      </c>
      <c r="G191" s="14" t="s">
        <v>66</v>
      </c>
      <c r="H191" s="58" t="s">
        <v>66</v>
      </c>
      <c r="I191" s="58" t="s">
        <v>66</v>
      </c>
      <c r="J191" s="14" t="s">
        <v>66</v>
      </c>
      <c r="K191" s="14" t="s">
        <v>66</v>
      </c>
    </row>
    <row r="192" spans="2:11" x14ac:dyDescent="0.25">
      <c r="B192" s="103">
        <v>182</v>
      </c>
      <c r="C192" s="101" t="s">
        <v>125</v>
      </c>
      <c r="D192" s="14" t="s">
        <v>66</v>
      </c>
      <c r="E192" s="14" t="s">
        <v>66</v>
      </c>
      <c r="F192" s="16" t="s">
        <v>66</v>
      </c>
      <c r="G192" s="16" t="s">
        <v>66</v>
      </c>
      <c r="H192" s="14" t="s">
        <v>66</v>
      </c>
      <c r="I192" s="14" t="s">
        <v>66</v>
      </c>
      <c r="J192" s="14" t="s">
        <v>66</v>
      </c>
      <c r="K192" s="14" t="s">
        <v>66</v>
      </c>
    </row>
    <row r="193" spans="2:11" x14ac:dyDescent="0.25">
      <c r="B193" s="58">
        <v>183</v>
      </c>
      <c r="C193" s="100" t="s">
        <v>126</v>
      </c>
      <c r="D193" s="58" t="s">
        <v>66</v>
      </c>
      <c r="E193" s="58" t="s">
        <v>66</v>
      </c>
      <c r="F193" s="16" t="s">
        <v>66</v>
      </c>
      <c r="G193" s="16" t="s">
        <v>290</v>
      </c>
      <c r="H193" s="58" t="s">
        <v>66</v>
      </c>
      <c r="I193" s="58" t="s">
        <v>290</v>
      </c>
      <c r="J193" s="14" t="s">
        <v>66</v>
      </c>
      <c r="K193" s="14" t="s">
        <v>66</v>
      </c>
    </row>
    <row r="194" spans="2:11" x14ac:dyDescent="0.25">
      <c r="B194" s="104">
        <v>184</v>
      </c>
      <c r="C194" s="100" t="s">
        <v>127</v>
      </c>
      <c r="D194" s="58" t="s">
        <v>66</v>
      </c>
      <c r="E194" s="58" t="s">
        <v>66</v>
      </c>
      <c r="F194" s="16" t="s">
        <v>290</v>
      </c>
      <c r="G194" s="16" t="s">
        <v>290</v>
      </c>
      <c r="H194" s="58" t="s">
        <v>290</v>
      </c>
      <c r="I194" s="58" t="s">
        <v>66</v>
      </c>
      <c r="J194" s="14" t="s">
        <v>66</v>
      </c>
      <c r="K194" s="14" t="s">
        <v>66</v>
      </c>
    </row>
    <row r="195" spans="2:11" x14ac:dyDescent="0.25">
      <c r="B195" s="104">
        <v>185</v>
      </c>
      <c r="C195" s="100" t="s">
        <v>128</v>
      </c>
      <c r="D195" s="58" t="s">
        <v>66</v>
      </c>
      <c r="E195" s="58" t="s">
        <v>66</v>
      </c>
      <c r="F195" s="16" t="s">
        <v>66</v>
      </c>
      <c r="G195" s="16" t="s">
        <v>66</v>
      </c>
      <c r="H195" s="58" t="s">
        <v>66</v>
      </c>
      <c r="I195" s="58" t="s">
        <v>66</v>
      </c>
      <c r="J195" s="14" t="s">
        <v>66</v>
      </c>
      <c r="K195" s="14" t="s">
        <v>66</v>
      </c>
    </row>
    <row r="196" spans="2:11" x14ac:dyDescent="0.25">
      <c r="B196" s="103">
        <v>186</v>
      </c>
      <c r="C196" s="100" t="s">
        <v>129</v>
      </c>
      <c r="D196" s="14" t="s">
        <v>66</v>
      </c>
      <c r="E196" s="14" t="s">
        <v>66</v>
      </c>
      <c r="F196" s="16" t="s">
        <v>290</v>
      </c>
      <c r="G196" s="16" t="s">
        <v>66</v>
      </c>
      <c r="H196" s="14" t="s">
        <v>66</v>
      </c>
      <c r="I196" s="14" t="s">
        <v>66</v>
      </c>
      <c r="J196" s="14" t="s">
        <v>66</v>
      </c>
      <c r="K196" s="14" t="s">
        <v>66</v>
      </c>
    </row>
    <row r="197" spans="2:11" x14ac:dyDescent="0.25">
      <c r="B197" s="58">
        <v>187</v>
      </c>
      <c r="C197" s="100" t="s">
        <v>130</v>
      </c>
      <c r="D197" s="58" t="s">
        <v>290</v>
      </c>
      <c r="E197" s="58" t="s">
        <v>290</v>
      </c>
      <c r="F197" s="16" t="s">
        <v>66</v>
      </c>
      <c r="G197" s="16" t="s">
        <v>66</v>
      </c>
      <c r="H197" s="58" t="s">
        <v>66</v>
      </c>
      <c r="I197" s="58" t="s">
        <v>66</v>
      </c>
      <c r="J197" s="14" t="s">
        <v>66</v>
      </c>
      <c r="K197" s="14" t="s">
        <v>66</v>
      </c>
    </row>
    <row r="198" spans="2:11" x14ac:dyDescent="0.25">
      <c r="B198" s="104">
        <v>188</v>
      </c>
      <c r="C198" s="100" t="s">
        <v>131</v>
      </c>
      <c r="D198" s="58" t="s">
        <v>290</v>
      </c>
      <c r="E198" s="58" t="s">
        <v>290</v>
      </c>
      <c r="F198" s="16" t="s">
        <v>66</v>
      </c>
      <c r="G198" s="16" t="s">
        <v>66</v>
      </c>
      <c r="H198" s="58" t="s">
        <v>290</v>
      </c>
      <c r="I198" s="58" t="s">
        <v>66</v>
      </c>
      <c r="J198" s="14" t="s">
        <v>290</v>
      </c>
      <c r="K198" s="14" t="s">
        <v>290</v>
      </c>
    </row>
    <row r="199" spans="2:11" x14ac:dyDescent="0.25">
      <c r="B199" s="104">
        <v>189</v>
      </c>
      <c r="C199" s="101" t="s">
        <v>132</v>
      </c>
      <c r="D199" s="58" t="s">
        <v>66</v>
      </c>
      <c r="E199" s="58" t="s">
        <v>66</v>
      </c>
      <c r="F199" s="59" t="s">
        <v>71</v>
      </c>
      <c r="G199" s="59" t="s">
        <v>71</v>
      </c>
      <c r="H199" s="60" t="s">
        <v>71</v>
      </c>
      <c r="I199" s="60" t="s">
        <v>292</v>
      </c>
      <c r="J199" s="61" t="s">
        <v>71</v>
      </c>
      <c r="K199" s="61" t="s">
        <v>71</v>
      </c>
    </row>
    <row r="200" spans="2:11" x14ac:dyDescent="0.25">
      <c r="B200" s="103">
        <v>190</v>
      </c>
      <c r="C200" s="100" t="s">
        <v>133</v>
      </c>
      <c r="D200" s="58" t="s">
        <v>66</v>
      </c>
      <c r="E200" s="58" t="s">
        <v>66</v>
      </c>
      <c r="F200" s="16" t="s">
        <v>292</v>
      </c>
      <c r="G200" s="16" t="s">
        <v>66</v>
      </c>
      <c r="H200" s="58" t="s">
        <v>66</v>
      </c>
      <c r="I200" s="58" t="s">
        <v>66</v>
      </c>
      <c r="J200" s="14" t="s">
        <v>66</v>
      </c>
      <c r="K200" s="14" t="s">
        <v>66</v>
      </c>
    </row>
    <row r="201" spans="2:11" x14ac:dyDescent="0.25">
      <c r="B201" s="58">
        <v>191</v>
      </c>
      <c r="C201" s="100" t="s">
        <v>134</v>
      </c>
      <c r="D201" s="58" t="s">
        <v>290</v>
      </c>
      <c r="E201" s="58" t="s">
        <v>290</v>
      </c>
      <c r="F201" s="16" t="s">
        <v>66</v>
      </c>
      <c r="G201" s="16" t="s">
        <v>66</v>
      </c>
      <c r="H201" s="58" t="s">
        <v>290</v>
      </c>
      <c r="I201" s="58" t="s">
        <v>290</v>
      </c>
      <c r="J201" s="14" t="s">
        <v>66</v>
      </c>
      <c r="K201" s="14" t="s">
        <v>66</v>
      </c>
    </row>
    <row r="202" spans="2:11" x14ac:dyDescent="0.25">
      <c r="B202" s="104">
        <v>192</v>
      </c>
      <c r="C202" s="100" t="s">
        <v>135</v>
      </c>
      <c r="D202" s="58" t="s">
        <v>66</v>
      </c>
      <c r="E202" s="58" t="s">
        <v>66</v>
      </c>
      <c r="F202" s="16" t="s">
        <v>290</v>
      </c>
      <c r="G202" s="16" t="s">
        <v>66</v>
      </c>
      <c r="H202" s="58" t="s">
        <v>66</v>
      </c>
      <c r="I202" s="58" t="s">
        <v>66</v>
      </c>
      <c r="J202" s="14" t="s">
        <v>290</v>
      </c>
      <c r="K202" s="14" t="s">
        <v>290</v>
      </c>
    </row>
    <row r="203" spans="2:11" x14ac:dyDescent="0.25">
      <c r="B203" s="104">
        <v>193</v>
      </c>
      <c r="C203" s="100" t="s">
        <v>136</v>
      </c>
      <c r="D203" s="58" t="s">
        <v>290</v>
      </c>
      <c r="E203" s="58" t="s">
        <v>290</v>
      </c>
      <c r="F203" s="16" t="s">
        <v>290</v>
      </c>
      <c r="G203" s="16" t="s">
        <v>66</v>
      </c>
      <c r="H203" s="58" t="s">
        <v>290</v>
      </c>
      <c r="I203" s="58" t="s">
        <v>66</v>
      </c>
      <c r="J203" s="14" t="s">
        <v>66</v>
      </c>
      <c r="K203" s="14" t="s">
        <v>66</v>
      </c>
    </row>
    <row r="204" spans="2:11" x14ac:dyDescent="0.25">
      <c r="B204" s="103">
        <v>194</v>
      </c>
      <c r="C204" s="100" t="s">
        <v>137</v>
      </c>
      <c r="D204" s="14" t="s">
        <v>66</v>
      </c>
      <c r="E204" s="14" t="s">
        <v>66</v>
      </c>
      <c r="F204" s="16" t="s">
        <v>66</v>
      </c>
      <c r="G204" s="16" t="s">
        <v>290</v>
      </c>
      <c r="H204" s="14" t="s">
        <v>66</v>
      </c>
      <c r="I204" s="14" t="s">
        <v>66</v>
      </c>
      <c r="J204" s="14" t="s">
        <v>66</v>
      </c>
      <c r="K204" s="14" t="s">
        <v>66</v>
      </c>
    </row>
    <row r="205" spans="2:11" x14ac:dyDescent="0.25">
      <c r="B205" s="58">
        <v>195</v>
      </c>
      <c r="C205" s="101" t="s">
        <v>138</v>
      </c>
      <c r="D205" s="58" t="s">
        <v>66</v>
      </c>
      <c r="E205" s="58" t="s">
        <v>66</v>
      </c>
      <c r="F205" s="16" t="s">
        <v>66</v>
      </c>
      <c r="G205" s="16" t="s">
        <v>66</v>
      </c>
      <c r="H205" s="58" t="s">
        <v>66</v>
      </c>
      <c r="I205" s="58" t="s">
        <v>66</v>
      </c>
      <c r="J205" s="14" t="s">
        <v>66</v>
      </c>
      <c r="K205" s="14" t="s">
        <v>66</v>
      </c>
    </row>
    <row r="206" spans="2:11" x14ac:dyDescent="0.25">
      <c r="B206" s="104">
        <v>196</v>
      </c>
      <c r="C206" s="101" t="s">
        <v>139</v>
      </c>
      <c r="D206" s="58" t="s">
        <v>66</v>
      </c>
      <c r="E206" s="58" t="s">
        <v>66</v>
      </c>
      <c r="F206" s="16" t="s">
        <v>66</v>
      </c>
      <c r="G206" s="16" t="s">
        <v>66</v>
      </c>
      <c r="H206" s="58" t="s">
        <v>66</v>
      </c>
      <c r="I206" s="58" t="s">
        <v>66</v>
      </c>
      <c r="J206" s="14" t="s">
        <v>66</v>
      </c>
      <c r="K206" s="14" t="s">
        <v>66</v>
      </c>
    </row>
    <row r="207" spans="2:11" x14ac:dyDescent="0.25">
      <c r="B207" s="104">
        <v>197</v>
      </c>
      <c r="C207" s="100" t="s">
        <v>140</v>
      </c>
      <c r="D207" s="58" t="s">
        <v>66</v>
      </c>
      <c r="E207" s="58" t="s">
        <v>66</v>
      </c>
      <c r="F207" s="16" t="s">
        <v>66</v>
      </c>
      <c r="G207" s="16" t="s">
        <v>66</v>
      </c>
      <c r="H207" s="58" t="s">
        <v>66</v>
      </c>
      <c r="I207" s="58" t="s">
        <v>66</v>
      </c>
      <c r="J207" s="14" t="s">
        <v>66</v>
      </c>
      <c r="K207" s="14" t="s">
        <v>66</v>
      </c>
    </row>
    <row r="208" spans="2:11" x14ac:dyDescent="0.25">
      <c r="B208" s="103">
        <v>198</v>
      </c>
      <c r="C208" s="100" t="s">
        <v>141</v>
      </c>
      <c r="D208" s="58" t="s">
        <v>66</v>
      </c>
      <c r="E208" s="58" t="s">
        <v>66</v>
      </c>
      <c r="F208" s="16" t="s">
        <v>66</v>
      </c>
      <c r="G208" s="16" t="s">
        <v>66</v>
      </c>
      <c r="H208" s="58" t="s">
        <v>290</v>
      </c>
      <c r="I208" s="58" t="s">
        <v>66</v>
      </c>
      <c r="J208" s="14" t="s">
        <v>66</v>
      </c>
      <c r="K208" s="14" t="s">
        <v>66</v>
      </c>
    </row>
    <row r="209" spans="2:11" x14ac:dyDescent="0.25">
      <c r="B209" s="58">
        <v>199</v>
      </c>
      <c r="C209" s="101" t="s">
        <v>142</v>
      </c>
      <c r="D209" s="58" t="s">
        <v>66</v>
      </c>
      <c r="E209" s="58" t="s">
        <v>66</v>
      </c>
      <c r="F209" s="16" t="s">
        <v>66</v>
      </c>
      <c r="G209" s="16" t="s">
        <v>66</v>
      </c>
      <c r="H209" s="58" t="s">
        <v>66</v>
      </c>
      <c r="I209" s="58" t="s">
        <v>66</v>
      </c>
      <c r="J209" s="14" t="s">
        <v>66</v>
      </c>
      <c r="K209" s="14" t="s">
        <v>66</v>
      </c>
    </row>
    <row r="210" spans="2:11" x14ac:dyDescent="0.25">
      <c r="B210" s="104">
        <v>200</v>
      </c>
      <c r="C210" s="100" t="s">
        <v>143</v>
      </c>
      <c r="D210" s="58" t="s">
        <v>66</v>
      </c>
      <c r="E210" s="58" t="s">
        <v>66</v>
      </c>
      <c r="F210" s="16" t="s">
        <v>66</v>
      </c>
      <c r="G210" s="16" t="s">
        <v>66</v>
      </c>
      <c r="H210" s="58" t="s">
        <v>66</v>
      </c>
      <c r="I210" s="58" t="s">
        <v>292</v>
      </c>
      <c r="J210" s="14" t="s">
        <v>66</v>
      </c>
      <c r="K210" s="14" t="s">
        <v>66</v>
      </c>
    </row>
    <row r="211" spans="2:11" x14ac:dyDescent="0.25">
      <c r="B211" s="104">
        <v>201</v>
      </c>
      <c r="C211" s="100" t="s">
        <v>144</v>
      </c>
      <c r="D211" s="58" t="s">
        <v>66</v>
      </c>
      <c r="E211" s="58" t="s">
        <v>66</v>
      </c>
      <c r="F211" s="16" t="s">
        <v>66</v>
      </c>
      <c r="G211" s="16" t="s">
        <v>66</v>
      </c>
      <c r="H211" s="58" t="s">
        <v>290</v>
      </c>
      <c r="I211" s="58" t="s">
        <v>66</v>
      </c>
      <c r="J211" s="14" t="s">
        <v>66</v>
      </c>
      <c r="K211" s="14" t="s">
        <v>66</v>
      </c>
    </row>
    <row r="212" spans="2:11" x14ac:dyDescent="0.25">
      <c r="B212" s="103">
        <v>202</v>
      </c>
      <c r="C212" s="101" t="s">
        <v>145</v>
      </c>
      <c r="D212" s="14" t="s">
        <v>66</v>
      </c>
      <c r="E212" s="58" t="s">
        <v>66</v>
      </c>
      <c r="F212" s="16" t="s">
        <v>66</v>
      </c>
      <c r="G212" s="16" t="s">
        <v>66</v>
      </c>
      <c r="H212" s="14" t="s">
        <v>66</v>
      </c>
      <c r="I212" s="58" t="s">
        <v>290</v>
      </c>
      <c r="J212" s="14" t="s">
        <v>66</v>
      </c>
      <c r="K212" s="14" t="s">
        <v>66</v>
      </c>
    </row>
    <row r="213" spans="2:11" x14ac:dyDescent="0.25">
      <c r="B213" s="58">
        <v>203</v>
      </c>
      <c r="C213" s="100" t="s">
        <v>146</v>
      </c>
      <c r="D213" s="58" t="s">
        <v>66</v>
      </c>
      <c r="E213" s="58" t="s">
        <v>66</v>
      </c>
      <c r="F213" s="16" t="s">
        <v>66</v>
      </c>
      <c r="G213" s="16" t="s">
        <v>66</v>
      </c>
      <c r="H213" s="58" t="s">
        <v>66</v>
      </c>
      <c r="I213" s="58" t="s">
        <v>66</v>
      </c>
      <c r="J213" s="14" t="s">
        <v>66</v>
      </c>
      <c r="K213" s="14" t="s">
        <v>66</v>
      </c>
    </row>
    <row r="214" spans="2:11" x14ac:dyDescent="0.25">
      <c r="B214" s="104">
        <v>204</v>
      </c>
      <c r="C214" s="100" t="s">
        <v>147</v>
      </c>
      <c r="D214" s="14" t="s">
        <v>66</v>
      </c>
      <c r="E214" s="14" t="s">
        <v>66</v>
      </c>
      <c r="F214" s="16"/>
      <c r="G214" s="16" t="s">
        <v>66</v>
      </c>
      <c r="H214" s="14" t="s">
        <v>290</v>
      </c>
      <c r="I214" s="14" t="s">
        <v>66</v>
      </c>
      <c r="J214" s="14" t="s">
        <v>66</v>
      </c>
      <c r="K214" s="14" t="s">
        <v>66</v>
      </c>
    </row>
    <row r="215" spans="2:11" x14ac:dyDescent="0.25">
      <c r="B215" s="104">
        <v>205</v>
      </c>
      <c r="C215" s="100" t="s">
        <v>148</v>
      </c>
      <c r="D215" s="58" t="s">
        <v>66</v>
      </c>
      <c r="E215" s="58" t="s">
        <v>66</v>
      </c>
      <c r="F215" s="16" t="s">
        <v>66</v>
      </c>
      <c r="G215" s="16" t="s">
        <v>66</v>
      </c>
      <c r="H215" s="58" t="s">
        <v>66</v>
      </c>
      <c r="I215" s="58" t="s">
        <v>66</v>
      </c>
      <c r="J215" s="14" t="s">
        <v>66</v>
      </c>
      <c r="K215" s="14" t="s">
        <v>66</v>
      </c>
    </row>
    <row r="216" spans="2:11" x14ac:dyDescent="0.25">
      <c r="B216" s="103">
        <v>206</v>
      </c>
      <c r="C216" s="48" t="s">
        <v>149</v>
      </c>
      <c r="D216" s="60" t="s">
        <v>71</v>
      </c>
      <c r="E216" s="60" t="s">
        <v>71</v>
      </c>
      <c r="F216" s="59" t="s">
        <v>292</v>
      </c>
      <c r="G216" s="16" t="s">
        <v>66</v>
      </c>
      <c r="H216" s="58" t="s">
        <v>66</v>
      </c>
      <c r="I216" s="58" t="s">
        <v>292</v>
      </c>
      <c r="J216" s="14" t="s">
        <v>66</v>
      </c>
      <c r="K216" s="61" t="s">
        <v>71</v>
      </c>
    </row>
    <row r="217" spans="2:11" x14ac:dyDescent="0.25">
      <c r="B217" s="58">
        <v>207</v>
      </c>
      <c r="C217" s="101" t="s">
        <v>150</v>
      </c>
      <c r="D217" s="58" t="s">
        <v>66</v>
      </c>
      <c r="E217" s="58" t="s">
        <v>66</v>
      </c>
      <c r="F217" s="16" t="s">
        <v>66</v>
      </c>
      <c r="G217" s="16" t="s">
        <v>66</v>
      </c>
      <c r="H217" s="58" t="s">
        <v>66</v>
      </c>
      <c r="I217" s="58" t="s">
        <v>66</v>
      </c>
      <c r="J217" s="14" t="s">
        <v>66</v>
      </c>
      <c r="K217" s="14" t="s">
        <v>66</v>
      </c>
    </row>
    <row r="218" spans="2:11" x14ac:dyDescent="0.25">
      <c r="B218" s="104">
        <v>208</v>
      </c>
      <c r="C218" s="100" t="s">
        <v>151</v>
      </c>
      <c r="D218" s="14" t="s">
        <v>66</v>
      </c>
      <c r="E218" s="14" t="s">
        <v>66</v>
      </c>
      <c r="F218" s="16" t="s">
        <v>66</v>
      </c>
      <c r="G218" s="16" t="s">
        <v>66</v>
      </c>
      <c r="H218" s="14" t="s">
        <v>290</v>
      </c>
      <c r="I218" s="14" t="s">
        <v>66</v>
      </c>
      <c r="J218" s="14" t="s">
        <v>66</v>
      </c>
      <c r="K218" s="14" t="s">
        <v>66</v>
      </c>
    </row>
    <row r="219" spans="2:11" x14ac:dyDescent="0.25">
      <c r="B219" s="104">
        <v>209</v>
      </c>
      <c r="C219" s="100" t="s">
        <v>152</v>
      </c>
      <c r="D219" s="58" t="s">
        <v>66</v>
      </c>
      <c r="E219" s="58" t="s">
        <v>66</v>
      </c>
      <c r="F219" s="16" t="s">
        <v>66</v>
      </c>
      <c r="G219" s="16" t="s">
        <v>66</v>
      </c>
      <c r="H219" s="58" t="s">
        <v>290</v>
      </c>
      <c r="I219" s="58" t="s">
        <v>66</v>
      </c>
      <c r="J219" s="14" t="s">
        <v>66</v>
      </c>
      <c r="K219" s="14" t="s">
        <v>66</v>
      </c>
    </row>
    <row r="220" spans="2:11" x14ac:dyDescent="0.25">
      <c r="B220" s="103">
        <v>210</v>
      </c>
      <c r="C220" s="101" t="s">
        <v>153</v>
      </c>
      <c r="D220" s="58" t="s">
        <v>66</v>
      </c>
      <c r="E220" s="58" t="s">
        <v>290</v>
      </c>
      <c r="F220" s="16" t="s">
        <v>66</v>
      </c>
      <c r="G220" s="16" t="s">
        <v>66</v>
      </c>
      <c r="H220" s="58" t="s">
        <v>66</v>
      </c>
      <c r="I220" s="58" t="s">
        <v>66</v>
      </c>
      <c r="J220" s="14" t="s">
        <v>66</v>
      </c>
      <c r="K220" s="14" t="s">
        <v>66</v>
      </c>
    </row>
    <row r="221" spans="2:11" x14ac:dyDescent="0.25">
      <c r="B221" s="58">
        <v>211</v>
      </c>
      <c r="C221" s="100" t="s">
        <v>154</v>
      </c>
      <c r="D221" s="58" t="s">
        <v>290</v>
      </c>
      <c r="E221" s="58" t="s">
        <v>290</v>
      </c>
      <c r="F221" s="16" t="s">
        <v>290</v>
      </c>
      <c r="G221" s="16" t="s">
        <v>66</v>
      </c>
      <c r="H221" s="58" t="s">
        <v>66</v>
      </c>
      <c r="I221" s="58" t="s">
        <v>66</v>
      </c>
      <c r="J221" s="14" t="s">
        <v>66</v>
      </c>
      <c r="K221" s="14" t="s">
        <v>66</v>
      </c>
    </row>
    <row r="222" spans="2:11" x14ac:dyDescent="0.25">
      <c r="B222" s="104">
        <v>212</v>
      </c>
      <c r="C222" s="100" t="s">
        <v>155</v>
      </c>
      <c r="D222" s="58" t="s">
        <v>66</v>
      </c>
      <c r="E222" s="58" t="s">
        <v>66</v>
      </c>
      <c r="F222" s="16" t="s">
        <v>66</v>
      </c>
      <c r="G222" s="16" t="s">
        <v>290</v>
      </c>
      <c r="H222" s="58" t="s">
        <v>290</v>
      </c>
      <c r="I222" s="58" t="s">
        <v>66</v>
      </c>
      <c r="J222" s="14" t="s">
        <v>66</v>
      </c>
      <c r="K222" s="14" t="s">
        <v>66</v>
      </c>
    </row>
    <row r="223" spans="2:11" x14ac:dyDescent="0.25">
      <c r="B223" s="104">
        <v>213</v>
      </c>
      <c r="C223" s="100" t="s">
        <v>156</v>
      </c>
      <c r="D223" s="58" t="s">
        <v>66</v>
      </c>
      <c r="E223" s="58" t="s">
        <v>66</v>
      </c>
      <c r="F223" s="16" t="s">
        <v>66</v>
      </c>
      <c r="G223" s="16" t="s">
        <v>290</v>
      </c>
      <c r="H223" s="58" t="s">
        <v>66</v>
      </c>
      <c r="I223" s="58" t="s">
        <v>66</v>
      </c>
      <c r="J223" s="14" t="s">
        <v>66</v>
      </c>
      <c r="K223" s="14" t="s">
        <v>66</v>
      </c>
    </row>
    <row r="224" spans="2:11" x14ac:dyDescent="0.25">
      <c r="B224" s="103">
        <v>214</v>
      </c>
      <c r="C224" s="100" t="s">
        <v>157</v>
      </c>
      <c r="D224" s="58" t="s">
        <v>66</v>
      </c>
      <c r="E224" s="58" t="s">
        <v>66</v>
      </c>
      <c r="F224" s="16" t="s">
        <v>66</v>
      </c>
      <c r="G224" s="16" t="s">
        <v>66</v>
      </c>
      <c r="H224" s="58" t="s">
        <v>66</v>
      </c>
      <c r="I224" s="58" t="s">
        <v>66</v>
      </c>
      <c r="J224" s="14" t="s">
        <v>66</v>
      </c>
      <c r="K224" s="14" t="s">
        <v>66</v>
      </c>
    </row>
    <row r="225" spans="2:11" x14ac:dyDescent="0.25">
      <c r="B225" s="58">
        <v>215</v>
      </c>
      <c r="C225" s="100" t="s">
        <v>158</v>
      </c>
      <c r="D225" s="58" t="s">
        <v>66</v>
      </c>
      <c r="E225" s="58" t="s">
        <v>66</v>
      </c>
      <c r="F225" s="16" t="s">
        <v>66</v>
      </c>
      <c r="G225" s="16" t="s">
        <v>66</v>
      </c>
      <c r="H225" s="58" t="s">
        <v>66</v>
      </c>
      <c r="I225" s="58" t="s">
        <v>66</v>
      </c>
      <c r="J225" s="14" t="s">
        <v>66</v>
      </c>
      <c r="K225" s="14" t="s">
        <v>66</v>
      </c>
    </row>
    <row r="226" spans="2:11" x14ac:dyDescent="0.25">
      <c r="B226" s="104">
        <v>216</v>
      </c>
      <c r="C226" s="102" t="s">
        <v>159</v>
      </c>
      <c r="D226" s="14" t="s">
        <v>66</v>
      </c>
      <c r="E226" s="14" t="s">
        <v>66</v>
      </c>
      <c r="F226" s="16" t="s">
        <v>290</v>
      </c>
      <c r="G226" s="16" t="s">
        <v>66</v>
      </c>
      <c r="H226" s="14" t="s">
        <v>66</v>
      </c>
      <c r="I226" s="14" t="s">
        <v>66</v>
      </c>
      <c r="J226" s="14" t="s">
        <v>66</v>
      </c>
      <c r="K226" s="14" t="s">
        <v>66</v>
      </c>
    </row>
    <row r="227" spans="2:11" x14ac:dyDescent="0.25">
      <c r="B227" s="104">
        <v>217</v>
      </c>
      <c r="C227" s="94" t="s">
        <v>111</v>
      </c>
      <c r="D227" s="14" t="s">
        <v>66</v>
      </c>
      <c r="E227" s="14" t="s">
        <v>66</v>
      </c>
      <c r="F227" s="16" t="s">
        <v>66</v>
      </c>
      <c r="G227" s="16" t="s">
        <v>66</v>
      </c>
      <c r="H227" s="14" t="s">
        <v>66</v>
      </c>
      <c r="I227" s="14" t="s">
        <v>66</v>
      </c>
      <c r="J227" s="14" t="s">
        <v>66</v>
      </c>
      <c r="K227" s="14" t="s">
        <v>66</v>
      </c>
    </row>
    <row r="228" spans="2:11" x14ac:dyDescent="0.25">
      <c r="B228" s="103">
        <v>218</v>
      </c>
      <c r="C228" s="94" t="s">
        <v>112</v>
      </c>
      <c r="D228" s="14" t="s">
        <v>66</v>
      </c>
      <c r="E228" s="14" t="s">
        <v>66</v>
      </c>
      <c r="F228" s="16" t="s">
        <v>66</v>
      </c>
      <c r="G228" s="16" t="s">
        <v>66</v>
      </c>
      <c r="H228" s="20" t="s">
        <v>66</v>
      </c>
      <c r="I228" s="20" t="s">
        <v>66</v>
      </c>
      <c r="J228" s="20" t="s">
        <v>66</v>
      </c>
      <c r="K228" s="20" t="s">
        <v>66</v>
      </c>
    </row>
    <row r="229" spans="2:11" x14ac:dyDescent="0.25">
      <c r="B229" s="58">
        <v>219</v>
      </c>
      <c r="C229" s="94" t="s">
        <v>113</v>
      </c>
      <c r="D229" s="14" t="s">
        <v>66</v>
      </c>
      <c r="E229" s="14" t="s">
        <v>66</v>
      </c>
      <c r="F229" s="16" t="s">
        <v>66</v>
      </c>
      <c r="G229" s="16" t="s">
        <v>66</v>
      </c>
      <c r="H229" s="20" t="s">
        <v>66</v>
      </c>
      <c r="I229" s="20" t="s">
        <v>66</v>
      </c>
      <c r="J229" s="20" t="s">
        <v>66</v>
      </c>
      <c r="K229" s="20" t="s">
        <v>66</v>
      </c>
    </row>
    <row r="230" spans="2:11" ht="30" x14ac:dyDescent="0.25">
      <c r="B230" s="104">
        <v>220</v>
      </c>
      <c r="C230" s="94" t="s">
        <v>114</v>
      </c>
      <c r="D230" s="15" t="s">
        <v>71</v>
      </c>
      <c r="E230" s="15" t="s">
        <v>71</v>
      </c>
      <c r="F230" s="16" t="s">
        <v>66</v>
      </c>
      <c r="G230" s="16" t="s">
        <v>66</v>
      </c>
      <c r="H230" s="20" t="s">
        <v>66</v>
      </c>
      <c r="I230" s="20" t="s">
        <v>66</v>
      </c>
      <c r="J230" s="15" t="s">
        <v>66</v>
      </c>
      <c r="K230" s="15" t="s">
        <v>66</v>
      </c>
    </row>
    <row r="231" spans="2:11" x14ac:dyDescent="0.25">
      <c r="B231" s="104">
        <v>221</v>
      </c>
      <c r="C231" s="94" t="s">
        <v>115</v>
      </c>
      <c r="D231" s="14" t="s">
        <v>66</v>
      </c>
      <c r="E231" s="14" t="s">
        <v>66</v>
      </c>
      <c r="F231" s="16" t="s">
        <v>66</v>
      </c>
      <c r="G231" s="16" t="s">
        <v>66</v>
      </c>
      <c r="H231" s="20" t="s">
        <v>66</v>
      </c>
      <c r="I231" s="20" t="s">
        <v>66</v>
      </c>
      <c r="J231" s="14" t="s">
        <v>66</v>
      </c>
      <c r="K231" s="14" t="s">
        <v>66</v>
      </c>
    </row>
    <row r="232" spans="2:11" ht="30" x14ac:dyDescent="0.25">
      <c r="B232" s="103">
        <v>222</v>
      </c>
      <c r="C232" s="94" t="s">
        <v>116</v>
      </c>
      <c r="D232" s="14" t="s">
        <v>66</v>
      </c>
      <c r="E232" s="14" t="s">
        <v>66</v>
      </c>
      <c r="F232" s="16" t="s">
        <v>66</v>
      </c>
      <c r="G232" s="16" t="s">
        <v>66</v>
      </c>
      <c r="H232" s="20" t="s">
        <v>66</v>
      </c>
      <c r="I232" s="20" t="s">
        <v>66</v>
      </c>
      <c r="J232" s="14" t="s">
        <v>66</v>
      </c>
      <c r="K232" s="14" t="s">
        <v>66</v>
      </c>
    </row>
  </sheetData>
  <sortState xmlns:xlrd2="http://schemas.microsoft.com/office/spreadsheetml/2017/richdata2" ref="B12:K232">
    <sortCondition ref="C11"/>
  </sortState>
  <mergeCells count="7">
    <mergeCell ref="B8:K8"/>
    <mergeCell ref="B9:B10"/>
    <mergeCell ref="C9:C10"/>
    <mergeCell ref="J9:K9"/>
    <mergeCell ref="H9:I9"/>
    <mergeCell ref="F9:G9"/>
    <mergeCell ref="D9:E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K10"/>
  <sheetViews>
    <sheetView workbookViewId="0">
      <selection sqref="A1:XFD10"/>
    </sheetView>
  </sheetViews>
  <sheetFormatPr baseColWidth="10" defaultRowHeight="15" x14ac:dyDescent="0.25"/>
  <sheetData>
    <row r="7" spans="1:11" x14ac:dyDescent="0.25"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33" customHeight="1" x14ac:dyDescent="0.4">
      <c r="A8" s="13"/>
      <c r="B8" s="107" t="s">
        <v>59</v>
      </c>
      <c r="C8" s="107"/>
      <c r="D8" s="107"/>
      <c r="E8" s="107"/>
      <c r="F8" s="107"/>
      <c r="G8" s="107"/>
      <c r="H8" s="107"/>
      <c r="I8" s="107"/>
      <c r="J8" s="107"/>
      <c r="K8" s="107"/>
    </row>
    <row r="9" spans="1:11" ht="18.75" x14ac:dyDescent="0.25">
      <c r="A9" s="13"/>
      <c r="B9" s="108" t="s">
        <v>0</v>
      </c>
      <c r="C9" s="108" t="s">
        <v>60</v>
      </c>
      <c r="D9" s="110" t="s">
        <v>61</v>
      </c>
      <c r="E9" s="111"/>
      <c r="F9" s="110" t="s">
        <v>62</v>
      </c>
      <c r="G9" s="111"/>
      <c r="H9" s="110" t="s">
        <v>63</v>
      </c>
      <c r="I9" s="111"/>
      <c r="J9" s="110" t="s">
        <v>64</v>
      </c>
      <c r="K9" s="111"/>
    </row>
    <row r="10" spans="1:11" ht="18.75" x14ac:dyDescent="0.25">
      <c r="A10" s="13"/>
      <c r="B10" s="109"/>
      <c r="C10" s="109"/>
      <c r="D10" s="21" t="s">
        <v>290</v>
      </c>
      <c r="E10" s="21" t="s">
        <v>291</v>
      </c>
      <c r="F10" s="21" t="s">
        <v>290</v>
      </c>
      <c r="G10" s="21" t="s">
        <v>291</v>
      </c>
      <c r="H10" s="21" t="s">
        <v>290</v>
      </c>
      <c r="I10" s="21" t="s">
        <v>291</v>
      </c>
      <c r="J10" s="21" t="s">
        <v>290</v>
      </c>
      <c r="K10" s="21" t="s">
        <v>291</v>
      </c>
    </row>
  </sheetData>
  <mergeCells count="7">
    <mergeCell ref="B8:K8"/>
    <mergeCell ref="B9:B10"/>
    <mergeCell ref="C9:C10"/>
    <mergeCell ref="J9:K9"/>
    <mergeCell ref="H9:I9"/>
    <mergeCell ref="F9:G9"/>
    <mergeCell ref="D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NOTAS</vt:lpstr>
      <vt:lpstr>ASISTENCIA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Daniel Gustavo Herrera Villarruel</cp:lastModifiedBy>
  <dcterms:created xsi:type="dcterms:W3CDTF">2022-09-01T21:33:49Z</dcterms:created>
  <dcterms:modified xsi:type="dcterms:W3CDTF">2025-10-10T06:59:47Z</dcterms:modified>
</cp:coreProperties>
</file>